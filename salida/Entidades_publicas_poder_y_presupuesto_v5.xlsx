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ntidades" sheetId="1" state="visible" r:id="rId1"/>
    <sheet xmlns:r="http://schemas.openxmlformats.org/officeDocument/2006/relationships" name="Duplicidades por tema" sheetId="2" state="visible" r:id="rId2"/>
    <sheet xmlns:r="http://schemas.openxmlformats.org/officeDocument/2006/relationships" name="Hoja 1" sheetId="3" state="visible" r:id="rId3"/>
    <sheet xmlns:r="http://schemas.openxmlformats.org/officeDocument/2006/relationships" name="Cambios 12-10-2026" sheetId="4" state="visible" r:id="rId4"/>
    <sheet xmlns:r="http://schemas.openxmlformats.org/officeDocument/2006/relationships" name="Verificación y pendientes" sheetId="5" state="visible" r:id="rId5"/>
    <sheet xmlns:r="http://schemas.openxmlformats.org/officeDocument/2006/relationships" name="Gasto CNMC y CSIC" sheetId="6" state="visible" r:id="rId6"/>
  </sheets>
  <definedNames>
    <definedName name="_xlnm._FilterDatabase" localSheetId="1" hidden="1">'Duplicidades por tema'!$A$1:$Y$22</definedName>
    <definedName name="Z_D49185CE_8533_4DA8_8E7C_B34CF7A4F58A_.wvu.FilterData" localSheetId="2" hidden="1">'Hoja 1'!$A$1:$BU$126</definedName>
    <definedName name="_xlnm._FilterDatabase" localSheetId="2" hidden="1">'Hoja 1'!$A$1:$CS$126</definedName>
    <definedName name="_xlnm._FilterDatabase" localSheetId="3" hidden="1">'Cambios 12-10-2026'!$A$1:$F$1243</definedName>
    <definedName name="_xlnm._FilterDatabase" localSheetId="4" hidden="1">'Verificación y pendientes'!$A$1:$F$126</definedName>
  </definedNames>
  <calcPr calcId="124519" fullCalcOnLoad="1"/>
</workbook>
</file>

<file path=xl/styles.xml><?xml version="1.0" encoding="utf-8"?>
<styleSheet xmlns="http://schemas.openxmlformats.org/spreadsheetml/2006/main">
  <numFmts count="3">
    <numFmt numFmtId="164" formatCode="#,##0.0"/>
    <numFmt numFmtId="165" formatCode="#,##0.0;[Red]-#,##0.0"/>
    <numFmt numFmtId="166" formatCode="#,##0.000"/>
  </numFmts>
  <fonts count="9">
    <font>
      <name val="Calibri"/>
      <color theme="1"/>
      <sz val="11"/>
      <scheme val="minor"/>
    </font>
    <font>
      <name val="Calibri"/>
      <b val="1"/>
      <color rgb="FF251F21"/>
      <sz val="15"/>
    </font>
    <font/>
    <font>
      <name val="Calibri"/>
      <color rgb="FF251F21"/>
      <sz val="11"/>
    </font>
    <font>
      <name val="Calibri"/>
      <b val="1"/>
      <color rgb="FF251F21"/>
      <sz val="11"/>
    </font>
    <font>
      <name val="Calibri"/>
      <b val="1"/>
      <color rgb="FF497E70"/>
    </font>
    <font>
      <name val="Calibri"/>
      <b val="1"/>
      <color rgb="FF497E70"/>
      <sz val="11"/>
    </font>
    <font>
      <name val="Calibri"/>
      <color rgb="FF251F21"/>
      <sz val="11"/>
      <u val="single"/>
    </font>
    <font>
      <name val="Calibri"/>
      <color theme="1"/>
      <sz val="11"/>
    </font>
  </fonts>
  <fills count="7">
    <fill>
      <patternFill/>
    </fill>
    <fill>
      <patternFill patternType="lightGray"/>
    </fill>
    <fill>
      <patternFill patternType="solid">
        <fgColor rgb="FFF4EFEC"/>
        <bgColor rgb="FFF4EFEC"/>
      </patternFill>
    </fill>
    <fill>
      <patternFill patternType="solid">
        <fgColor rgb="FFFFF2CC"/>
      </patternFill>
    </fill>
    <fill>
      <patternFill patternType="solid">
        <fgColor rgb="FFF4CCCC"/>
      </patternFill>
    </fill>
    <fill>
      <patternFill patternType="solid">
        <fgColor rgb="FFE2EFDA"/>
      </patternFill>
    </fill>
    <fill>
      <patternFill patternType="solid">
        <fgColor rgb="FFEDEDED"/>
      </patternFill>
    </fill>
  </fills>
  <borders count="5">
    <border/>
    <border>
      <left/>
      <top/>
      <bottom/>
    </border>
    <border>
      <top/>
      <bottom/>
    </border>
    <border>
      <right/>
      <top/>
      <bottom/>
    </border>
    <border>
      <left/>
      <right/>
      <top/>
      <bottom/>
    </border>
  </borders>
  <cellStyleXfs count="1">
    <xf numFmtId="0" fontId="0" fillId="0" borderId="0"/>
  </cellStyleXfs>
  <cellXfs count="33">
    <xf numFmtId="0" fontId="0" fillId="0" borderId="0" applyAlignment="1" pivotButton="0" quotePrefix="0" xfId="0">
      <alignment vertical="bottom"/>
    </xf>
    <xf numFmtId="0" fontId="1" fillId="2" borderId="1" applyAlignment="1" pivotButton="0" quotePrefix="0" xfId="0">
      <alignment vertical="top" wrapText="1"/>
    </xf>
    <xf numFmtId="0" fontId="2" fillId="0" borderId="2" pivotButton="0" quotePrefix="0" xfId="0"/>
    <xf numFmtId="0" fontId="2" fillId="0" borderId="3" pivotButton="0" quotePrefix="0" xfId="0"/>
    <xf numFmtId="0" fontId="3" fillId="0" borderId="0" applyAlignment="1" pivotButton="0" quotePrefix="0" xfId="0">
      <alignment vertical="top" wrapText="1"/>
    </xf>
    <xf numFmtId="0" fontId="4" fillId="2" borderId="1" applyAlignment="1" pivotButton="0" quotePrefix="0" xfId="0">
      <alignment vertical="top" wrapText="1"/>
    </xf>
    <xf numFmtId="164" fontId="5" fillId="0" borderId="0" applyAlignment="1" pivotButton="0" quotePrefix="0" xfId="0">
      <alignment vertical="top" wrapText="1"/>
    </xf>
    <xf numFmtId="164" fontId="3" fillId="0" borderId="0" applyAlignment="1" pivotButton="0" quotePrefix="0" xfId="0">
      <alignment vertical="top" wrapText="1"/>
    </xf>
    <xf numFmtId="165" fontId="3" fillId="0" borderId="0" applyAlignment="1" pivotButton="0" quotePrefix="0" xfId="0">
      <alignment vertical="top" wrapText="1"/>
    </xf>
    <xf numFmtId="0" fontId="4" fillId="2" borderId="4" applyAlignment="1" pivotButton="0" quotePrefix="0" xfId="0">
      <alignment horizontal="left" vertical="top" wrapText="1"/>
    </xf>
    <xf numFmtId="0" fontId="3" fillId="0" borderId="0" applyAlignment="1" pivotButton="0" quotePrefix="0" xfId="0">
      <alignment vertical="top" wrapText="1"/>
    </xf>
    <xf numFmtId="165" fontId="6" fillId="0" borderId="0" applyAlignment="1" pivotButton="0" quotePrefix="0" xfId="0">
      <alignment vertical="top" wrapText="1"/>
    </xf>
    <xf numFmtId="165" fontId="3"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0" fillId="0" borderId="0" pivotButton="0" quotePrefix="0" xfId="0"/>
    <xf numFmtId="0" fontId="1" fillId="2" borderId="4" applyAlignment="1" pivotButton="0" quotePrefix="0" xfId="0">
      <alignment vertical="top" wrapText="1"/>
    </xf>
    <xf numFmtId="0" fontId="4" fillId="2" borderId="4" applyAlignment="1" pivotButton="0" quotePrefix="0" xfId="0">
      <alignment vertical="top" wrapText="1"/>
    </xf>
    <xf numFmtId="0" fontId="4" fillId="0" borderId="0" pivotButton="0" quotePrefix="0" xfId="0"/>
    <xf numFmtId="0" fontId="3" fillId="0" borderId="0" pivotButton="0" quotePrefix="0" xfId="0"/>
    <xf numFmtId="0" fontId="3" fillId="0" borderId="0" applyAlignment="1" pivotButton="0" quotePrefix="0" xfId="0">
      <alignment vertical="top" wrapText="1"/>
    </xf>
    <xf numFmtId="164" fontId="3" fillId="0" borderId="0" pivotButton="0" quotePrefix="0" xfId="0"/>
    <xf numFmtId="3" fontId="3" fillId="0" borderId="0" pivotButton="0" quotePrefix="0" xfId="0"/>
    <xf numFmtId="0" fontId="4" fillId="2"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165" fontId="3" fillId="3" borderId="0" applyAlignment="1" pivotButton="0" quotePrefix="0" xfId="0">
      <alignment vertical="top" wrapText="1"/>
    </xf>
    <xf numFmtId="3" fontId="3" fillId="3" borderId="0" applyAlignment="1" pivotButton="0" quotePrefix="0" xfId="0">
      <alignment vertical="top" wrapText="1"/>
    </xf>
    <xf numFmtId="3" fontId="3" fillId="0" borderId="0" applyAlignment="1" pivotButton="0" quotePrefix="0" xfId="0">
      <alignment vertical="top" wrapText="1"/>
    </xf>
    <xf numFmtId="0" fontId="3" fillId="3" borderId="0" applyAlignment="1" pivotButton="0" quotePrefix="0" xfId="0">
      <alignment vertical="top" wrapText="1"/>
    </xf>
    <xf numFmtId="0" fontId="4" fillId="2" borderId="0" pivotButton="0" quotePrefix="0" xfId="0"/>
    <xf numFmtId="166" fontId="3"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 defaultTableStyle="TableStyleMedium9" defaultPivotStyle="PivotStyleLight16">
    <tableStyle name="Hoja 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K2" authorId="0" shapeId="0">
      <text>
        <t>======
ID#AAACIkoVlLU
Nota    (2026-10-11 21:13:25)
Sin presupuesto propio actual: supresión/extinción; no cuantificar sustituto; vacío no significa cero.</t>
      </text>
    </comment>
    <comment ref="K9" authorId="0" shapeId="0">
      <text>
        <t>======
ID#AAACIkIZM1U
Nota    (2026-10-11 21:13:24)
Sin cifra propia actual verificada; vacío no significa cero.</t>
      </text>
    </comment>
    <comment ref="K10" authorId="0" shapeId="0">
      <text>
        <t>======
ID#AAACIkIY6Y4
Nota    (2026-10-11 21:13:24)
Sin cifra propia actual verificada; vacío no significa cero.</t>
      </text>
    </comment>
    <comment ref="K11" authorId="0" shapeId="0">
      <text>
        <t>======
ID#AAACIkIZM1Q
Nota    (2026-10-11 21:13:24)
Sin cifra propia actual verificada; vacío no significa cero.</t>
      </text>
    </comment>
    <comment ref="K12" authorId="0" shapeId="0">
      <text>
        <t>======
ID#AAACIkIZM2I
Nota    (2026-10-11 21:13:24)
Sin cifra propia actual verificada; vacío no significa cero.</t>
      </text>
    </comment>
    <comment ref="K13" authorId="0" shapeId="0">
      <text>
        <t>======
ID#AAACIkIZM1E
Nota    (2026-10-11 21:13:24)
Sin cifra propia actual verificada; vacío no significa cero.</t>
      </text>
    </comment>
    <comment ref="K14" authorId="0" shapeId="0">
      <text>
        <t>======
ID#AAACIkIZM0o
Nota    (2026-10-11 21:13:24)
Sin cifra propia actual verificada; vacío no significa cero.</t>
      </text>
    </comment>
    <comment ref="K15" authorId="0" shapeId="0">
      <text>
        <t>======
ID#AAACIkIZM2A
Nota    (2026-10-11 21:13:24)
Sin cifra propia actual verificada; vacío no significa cero.</t>
      </text>
    </comment>
    <comment ref="K16" authorId="0" shapeId="0">
      <text>
        <t>======
ID#AAACIkIZM0g
Nota    (2026-10-11 21:13:24)
Sin cifra propia actual verificada; vacío no significa cero.</t>
      </text>
    </comment>
    <comment ref="K17" authorId="0" shapeId="0">
      <text>
        <t>======
ID#AAACIkoVlLY
Nota    (2026-10-11 21:13:25)
Sin cifra propia actual verificada; vacío no significa cero.</t>
      </text>
    </comment>
    <comment ref="K18" authorId="0" shapeId="0">
      <text>
        <t>======
ID#AAACIkoVlKA
Nota    (2026-10-11 21:13:25)
Sin cifra propia actual verificada; vacío no significa cero.</t>
      </text>
    </comment>
    <comment ref="K19" authorId="0" shapeId="0">
      <text>
        <t>======
ID#AAACIkoVlJ0
Nota    (2026-10-11 21:13:25)
Sin cifra propia actual verificada; vacío no significa cero.</t>
      </text>
    </comment>
    <comment ref="K20" authorId="0" shapeId="0">
      <text>
        <t>======
ID#AAACIkIZM1s
Nota    (2026-10-11 21:13:24)
Sin cifra propia actual verificada; vacío no significa cero.</t>
      </text>
    </comment>
    <comment ref="K21" authorId="0" shapeId="0">
      <text>
        <t>======
ID#AAACIkoVlKg
Nota    (2026-10-11 21:13:25)
Sin cifra propia actual verificada; vacío no significa cero.</t>
      </text>
    </comment>
    <comment ref="K22" authorId="0" shapeId="0">
      <text>
        <t>======
ID#AAACIkIY6ZA
Nota    (2026-10-11 21:13:24)
Sin cifra propia actual verificada; vacío no significa cero.</t>
      </text>
    </comment>
    <comment ref="K23" authorId="0" shapeId="0">
      <text>
        <t>======
ID#AAACIkoVlKw
Nota    (2026-10-11 21:13:25)
Sin cifra propia actual verificada; vacío no significa cero.</t>
      </text>
    </comment>
    <comment ref="K24" authorId="0" shapeId="0">
      <text>
        <t>======
ID#AAACIkIY6Ys
Nota    (2026-10-11 21:13:24)
Sin cifra propia actual verificada; vacío no significa cero.</t>
      </text>
    </comment>
    <comment ref="K26" authorId="0" shapeId="0">
      <text>
        <t>======
ID#AAACIkIZM0Y
Nota    (2026-10-11 21:13:24)
Sin presupuesto propio actual: supresión/extinción; no cuantificar sustituto; vacío no significa cero.</t>
      </text>
    </comment>
    <comment ref="K27" authorId="0" shapeId="0">
      <text>
        <t>======
ID#AAACIkIZM10
Nota    (2026-10-11 21:13:24)
Sin presupuesto propio actual: supresión/extinción; no cuantificar sustituto; vacío no significa cero.</t>
      </text>
    </comment>
    <comment ref="K28" authorId="0" shapeId="0">
      <text>
        <t>======
ID#AAACIkoVlJo
Nota    (2026-10-11 21:13:25)
Denominación sustituida; importe sucesor fuera del total propio; vacío no significa cero.</t>
      </text>
    </comment>
    <comment ref="K30" authorId="0" shapeId="0">
      <text>
        <t>======
ID#AAACIkIY6Yo
Nota    (2026-10-11 21:13:24)
Sin cifra propia actual verificada; vacío no significa cero.</t>
      </text>
    </comment>
    <comment ref="K45" authorId="0" shapeId="0">
      <text>
        <t>======
ID#AAACIkIZM2E
Nota    (2026-10-11 21:13:24)
Sin cifra propia actual verificada; vacío no significa cero.</t>
      </text>
    </comment>
    <comment ref="K46" authorId="0" shapeId="0">
      <text>
        <t>======
ID#AAACIkIZM0w
Nota    (2026-10-11 21:13:24)
Sin cifra propia actual verificada; vacío no significa cero.</t>
      </text>
    </comment>
    <comment ref="K47" authorId="0" shapeId="0">
      <text>
        <t>======
ID#AAACIkoVlJQ
Nota    (2026-10-11 21:13:25)
Sin cifra propia actual verificada; vacío no significa cero.</t>
      </text>
    </comment>
    <comment ref="K48" authorId="0" shapeId="0">
      <text>
        <t>======
ID#AAACIkoVlKE
Nota    (2026-10-11 21:13:25)
Sin cifra propia actual verificada; vacío no significa cero.</t>
      </text>
    </comment>
    <comment ref="K49" authorId="0" shapeId="0">
      <text>
        <t>======
ID#AAACIkoVlKs
Nota    (2026-10-11 21:13:25)
Sin cifra propia actual verificada; vacío no significa cero.</t>
      </text>
    </comment>
    <comment ref="K50" authorId="0" shapeId="0">
      <text>
        <t>======
ID#AAACIkIZM00
Nota    (2026-10-11 21:13:24)
Sin cifra propia actual verificada; vacío no significa cero.</t>
      </text>
    </comment>
    <comment ref="K51" authorId="0" shapeId="0">
      <text>
        <t>======
ID#AAACIkIY6ZY
Nota    (2026-10-11 21:13:24)
Sin cifra propia actual verificada; vacío no significa cero.</t>
      </text>
    </comment>
    <comment ref="K52" authorId="0" shapeId="0">
      <text>
        <t>======
ID#AAACIkIZM1Y
Nota    (2026-10-11 21:13:24)
Sin cifra propia actual verificada; vacío no significa cero.</t>
      </text>
    </comment>
    <comment ref="K53" authorId="0" shapeId="0">
      <text>
        <t>======
ID#AAACIkIZM1I
Nota    (2026-10-11 21:13:24)
Sin cifra propia actual verificada; vacío no significa cero.</t>
      </text>
    </comment>
    <comment ref="K54" authorId="0" shapeId="0">
      <text>
        <t>======
ID#AAACIkoVlJU
Nota    (2026-10-11 21:13:25)
Sin cifra propia actual verificada; vacío no significa cero.</t>
      </text>
    </comment>
    <comment ref="K55" authorId="0" shapeId="0">
      <text>
        <t>======
ID#AAACIkIY6Yw
Nota    (2026-10-11 21:13:24)
Sin cifra propia actual verificada; vacío no significa cero.</t>
      </text>
    </comment>
    <comment ref="K56" authorId="0" shapeId="0">
      <text>
        <t>======
ID#AAACIkoVlKU
Nota    (2026-10-11 21:13:25)
Sin cifra propia actual verificada; vacío no significa cero.</t>
      </text>
    </comment>
    <comment ref="K57" authorId="0" shapeId="0">
      <text>
        <t>======
ID#AAACIkIZM18
Nota    (2026-10-11 21:13:24)
Sin cifra propia actual verificada; vacío no significa cero.</t>
      </text>
    </comment>
    <comment ref="K58" authorId="0" shapeId="0">
      <text>
        <t>======
ID#AAACIkoVlJ4
Nota    (2026-10-11 21:13:25)
Sin cifra propia actual verificada; vacío no significa cero.</t>
      </text>
    </comment>
    <comment ref="K59" authorId="0" shapeId="0">
      <text>
        <t>======
ID#AAACIkIZM0M
Nota    (2026-10-11 21:13:24)
Sin cifra propia actual verificada; vacío no significa cero.</t>
      </text>
    </comment>
    <comment ref="K60" authorId="0" shapeId="0">
      <text>
        <t>======
ID#AAACIkoVlLM
Nota    (2026-10-11 21:13:25)
Sin cifra propia actual verificada; vacío no significa cero.</t>
      </text>
    </comment>
    <comment ref="K61" authorId="0" shapeId="0">
      <text>
        <t>======
ID#AAACIkoVlKM
Nota    (2026-10-11 21:13:25)
Sin cifra propia actual verificada; vacío no significa cero.</t>
      </text>
    </comment>
    <comment ref="K62" authorId="0" shapeId="0">
      <text>
        <t>======
ID#AAACIkIZM1w
Nota    (2026-10-11 21:13:24)
Sin cifra propia actual verificada; vacío no significa cero.</t>
      </text>
    </comment>
    <comment ref="K63" authorId="0" shapeId="0">
      <text>
        <t>======
ID#AAACIkoVlJY
Nota    (2026-10-11 21:13:25)
Sin cifra propia actual verificada; vacío no significa cero.</t>
      </text>
    </comment>
    <comment ref="K64" authorId="0" shapeId="0">
      <text>
        <t>======
ID#AAACIkoVlKo
Nota    (2026-10-11 21:13:25)
Sin cifra propia actual verificada; vacío no significa cero.</t>
      </text>
    </comment>
    <comment ref="K65" authorId="0" shapeId="0">
      <text>
        <t>======
ID#AAACIkoVlLc
Nota    (2026-10-11 21:13:25)
Sin cifra propia actual verificada; vacío no significa cero.</t>
      </text>
    </comment>
    <comment ref="K66" authorId="0" shapeId="0">
      <text>
        <t>======
ID#AAACIkIZM0k
Nota    (2026-10-11 21:13:24)
Sin cifra propia actual verificada; vacío no significa cero.</t>
      </text>
    </comment>
    <comment ref="K67" authorId="0" shapeId="0">
      <text>
        <t>======
ID#AAACIkIY6ZM
Nota    (2026-10-11 21:13:24)
Sin cifra propia actual verificada; vacío no significa cero.</t>
      </text>
    </comment>
    <comment ref="K68" authorId="0" shapeId="0">
      <text>
        <t>======
ID#AAACIkoVlJc
Nota    (2026-10-11 21:13:25)
Sin cifra propia actual verificada; vacío no significa cero.</t>
      </text>
    </comment>
    <comment ref="K69" authorId="0" shapeId="0">
      <text>
        <t>======
ID#AAACIkoVlJ8
Nota    (2026-10-11 21:13:25)
Sin cifra propia actual verificada; vacío no significa cero.</t>
      </text>
    </comment>
    <comment ref="K70" authorId="0" shapeId="0">
      <text>
        <t>======
ID#AAACIkoVlJs
Nota    (2026-10-11 21:13:25)
Sin cifra propia actual verificada; vacío no significa cero.</t>
      </text>
    </comment>
    <comment ref="K71" authorId="0" shapeId="0">
      <text>
        <t>======
ID#AAACIkoVlJw
Nota    (2026-10-11 21:13:25)
Sin presupuesto propio actual: supresión/extinción; no cuantificar sustituto; vacío no significa cero.</t>
      </text>
    </comment>
    <comment ref="K72" authorId="0" shapeId="0">
      <text>
        <t>======
ID#AAACIkoVlLE
Nota    (2026-10-11 21:13:25)
Sin presupuesto propio actual: supresión/extinción; no cuantificar sustituto; vacío no significa cero.</t>
      </text>
    </comment>
    <comment ref="K73" authorId="0" shapeId="0">
      <text>
        <t>======
ID#AAACIkIZM08
Nota    (2026-10-11 21:13:24)
Sin presupuesto propio actual: supresión/extinción; no cuantificar sustituto; vacío no significa cero.</t>
      </text>
    </comment>
    <comment ref="K75" authorId="0" shapeId="0">
      <text>
        <t>======
ID#AAACIkoVlJg
Nota    (2026-10-11 21:13:25)
Sin cifra propia actual verificada; vacío no significa cero.</t>
      </text>
    </comment>
    <comment ref="K77" authorId="0" shapeId="0">
      <text>
        <t>======
ID#AAACIkoVlKY
Nota    (2026-10-11 21:13:25)
Sin cifra propia actual verificada; vacío no significa cero.</t>
      </text>
    </comment>
    <comment ref="K78" authorId="0" shapeId="0">
      <text>
        <t>======
ID#AAACIkoVlLo
Nota    (2026-10-11 21:13:25)
Sin cifra propia actual verificada; vacío no significa cero.</t>
      </text>
    </comment>
    <comment ref="K79" authorId="0" shapeId="0">
      <text>
        <t>======
ID#AAACIkIY6Y8
Nota    (2026-10-11 21:13:24)
Sin cifra propia actual verificada; vacío no significa cero.</t>
      </text>
    </comment>
    <comment ref="K83" authorId="0" shapeId="0">
      <text>
        <t>======
ID#AAACIkoVlK8
Nota    (2026-10-11 21:13:25)
Sin cifra propia actual verificada; vacío no significa cero.</t>
      </text>
    </comment>
    <comment ref="K85" authorId="0" shapeId="0">
      <text>
        <t>======
ID#AAACIkIZM1o
Nota    (2026-10-11 21:13:24)
Sin cifra propia actual verificada; vacío no significa cero.</t>
      </text>
    </comment>
    <comment ref="K86" authorId="0" shapeId="0">
      <text>
        <t>======
ID#AAACIkoVlLw
Nota    (2026-10-11 21:13:25)
Sin cifra propia actual verificada; vacío no significa cero.</t>
      </text>
    </comment>
    <comment ref="K88" authorId="0" shapeId="0">
      <text>
        <t>======
ID#AAACIkIY6ZQ
Nota    (2026-10-11 21:13:24)
Sin cifra propia actual verificada; vacío no significa cero.</t>
      </text>
    </comment>
    <comment ref="K89" authorId="0" shapeId="0">
      <text>
        <t>======
ID#AAACIkIZM1M
Nota    (2026-10-11 21:13:24)
Sin cifra propia actual verificada; vacío no significa cero.</t>
      </text>
    </comment>
    <comment ref="K91" authorId="0" shapeId="0">
      <text>
        <t>======
ID#AAACIkoVlKQ
Nota    (2026-10-11 21:13:25)
Sin presupuesto propio actual: supresión/extinción; no cuantificar sustituto; vacío no significa cero.</t>
      </text>
    </comment>
    <comment ref="K92" authorId="0" shapeId="0">
      <text>
        <t>======
ID#AAACIkoVlKI
Nota    (2026-10-11 21:13:25)
Sin cifra propia actual verificada; vacío no significa cero.</t>
      </text>
    </comment>
    <comment ref="K93" authorId="0" shapeId="0">
      <text>
        <t>======
ID#AAACIkIZM1c
Nota    (2026-10-11 21:13:24)
Sin cifra propia actual verificada; vacío no significa cero.</t>
      </text>
    </comment>
    <comment ref="K95" authorId="0" shapeId="0">
      <text>
        <t>======
ID#AAACIkIZM1k
Nota    (2026-10-11 21:13:24)
Sin presupuesto propio actual: supresión/extinción; no cuantificar sustituto; vacío no significa cero.</t>
      </text>
    </comment>
    <comment ref="K96" authorId="0" shapeId="0">
      <text>
        <t>======
ID#AAACIkoVlLg
Nota    (2026-10-11 21:13:25)
Sin cifra propia actual verificada; vacío no significa cero.</t>
      </text>
    </comment>
    <comment ref="K97" authorId="0" shapeId="0">
      <text>
        <t>======
ID#AAACIkIZM04
Nota    (2026-10-11 21:13:24)
No se ha verificado importe propio actual. No significa cero.</t>
      </text>
    </comment>
    <comment ref="K99" authorId="0" shapeId="0">
      <text>
        <t>======
ID#AAACIkIZM1A
Nota    (2026-10-11 21:13:24)
No se ha verificado importe propio actual. No significa cero.</t>
      </text>
    </comment>
    <comment ref="K103" authorId="0" shapeId="0">
      <text>
        <t>======
ID#AAACIkoVlKc
Nota    (2026-10-11 21:13:25)
No se ha verificado importe propio actual. No significa cero.</t>
      </text>
    </comment>
    <comment ref="K104" authorId="0" shapeId="0">
      <text>
        <t>======
ID#AAACIkoVlL0
Nota    (2026-10-11 21:13:25)
No se ha verificado importe propio actual. No significa cero.</t>
      </text>
    </comment>
    <comment ref="K105" authorId="0" shapeId="0">
      <text>
        <t>======
ID#AAACIkIZM14
Nota    (2026-10-11 21:13:24)
No se ha verificado importe propio actual. No significa cero.</t>
      </text>
    </comment>
    <comment ref="K106" authorId="0" shapeId="0">
      <text>
        <t>======
ID#AAACIkoVlLQ
Nota    (2026-10-11 21:13:25)
No se ha verificado importe propio actual. No significa cero.</t>
      </text>
    </comment>
    <comment ref="K107" authorId="0" shapeId="0">
      <text>
        <t>======
ID#AAACIkoVlK0
Nota    (2026-10-11 21:13:25)
No se ha verificado importe propio actual. No significa cero.</t>
      </text>
    </comment>
    <comment ref="K108" authorId="0" shapeId="0">
      <text>
        <t>======
ID#AAACIkoVlKk
Nota    (2026-10-11 21:13:25)
No se ha verificado importe propio actual. No significa cero.</t>
      </text>
    </comment>
    <comment ref="K109" authorId="0" shapeId="0">
      <text>
        <t>======
ID#AAACIkIY6ZI
Nota    (2026-10-11 21:13:24)
No se ha verificado importe propio actual. No significa cero.</t>
      </text>
    </comment>
    <comment ref="K110" authorId="0" shapeId="0">
      <text>
        <t>======
ID#AAACIkIZM0c
Nota    (2026-10-11 21:13:24)
No se ha verificado importe propio actual. No significa cero.</t>
      </text>
    </comment>
    <comment ref="K111" authorId="0" shapeId="0">
      <text>
        <t>======
ID#AAACIkIZM1g
Nota    (2026-10-11 21:13:24)
No se ha verificado importe propio actual. No significa cero.</t>
      </text>
    </comment>
    <comment ref="K112" authorId="0" shapeId="0">
      <text>
        <t>======
ID#AAACIkoVlLk
Nota    (2026-10-11 21:13:25)
No se ha verificado importe propio actual. No significa cero.</t>
      </text>
    </comment>
    <comment ref="K113" authorId="0" shapeId="0">
      <text>
        <t>======
ID#AAACIkoVlK4
Nota    (2026-10-11 21:13:25)
No se ha verificado importe propio actual. No significa cero.</t>
      </text>
    </comment>
    <comment ref="K114" authorId="0" shapeId="0">
      <text>
        <t>======
ID#AAACIkoVlL4
Nota    (2026-10-11 21:13:25)
No se ha verificado importe propio actual. No significa cero.</t>
      </text>
    </comment>
    <comment ref="K115" authorId="0" shapeId="0">
      <text>
        <t>======
ID#AAACIkoVlLI
Nota    (2026-10-11 21:13:25)
No se ha verificado importe propio actual. No significa cero.</t>
      </text>
    </comment>
    <comment ref="K116" authorId="0" shapeId="0">
      <text>
        <t>======
ID#AAACIkoVlLs
Nota    (2026-10-11 21:13:25)
No se ha verificado importe propio actual. No significa cero.</t>
      </text>
    </comment>
    <comment ref="K117" authorId="0" shapeId="0">
      <text>
        <t>======
ID#AAACIkIZM0U
Nota    (2026-10-11 21:13:24)
No se ha verificado importe propio actual. No significa cero.</t>
      </text>
    </comment>
    <comment ref="K118" authorId="0" shapeId="0">
      <text>
        <t>======
ID#AAACIkIZM0Q
Nota    (2026-10-11 21:13:24)
No se ha verificado importe propio actual. No significa cero.</t>
      </text>
    </comment>
    <comment ref="K119" authorId="0" shapeId="0">
      <text>
        <t>======
ID#AAACIkIZM0s
Nota    (2026-10-11 21:13:24)
No se ha verificado importe propio actual. No significa cero.</t>
      </text>
    </comment>
    <comment ref="K120" authorId="0" shapeId="0">
      <text>
        <t>======
ID#AAACIkIY6Y0
Nota    (2026-10-11 21:13:24)
No se ha verificado importe propio actual. No significa cero.</t>
      </text>
    </comment>
    <comment ref="K121" authorId="0" shapeId="0">
      <text>
        <t>======
ID#AAACIkIY6ZE
Nota    (2026-10-11 21:13:24)
No se ha verificado importe propio actual. No significa cero.</t>
      </text>
    </comment>
    <comment ref="K122" authorId="0" shapeId="0">
      <text>
        <t>======
ID#AAACIkIY6ZU
Nota    (2026-10-11 21:13:24)
No se ha verificado importe propio actual. No significa cero.</t>
      </text>
    </comment>
    <comment ref="K123" authorId="0" shapeId="0">
      <text>
        <t>======
ID#AAACIkoVlLA
Nota    (2026-10-11 21:13:25)
No se ha verificado importe propio actual. No significa cero.</t>
      </text>
    </comment>
    <comment ref="K124" authorId="0" shapeId="0">
      <text>
        <t>======
ID#AAACIkoVlJk
Nota    (2026-10-11 21:13:25)
No se ha verificado importe propio actual. No significa cero.</t>
      </text>
    </comment>
  </commentList>
</comments>
</file>

<file path=xl/tables/table1.xml><?xml version="1.0" encoding="utf-8"?>
<table xmlns="http://schemas.openxmlformats.org/spreadsheetml/2006/main" id="1" name="InventarioEntidades" displayName="InventarioEntidades" ref="A1:BU126" headerRowCount="1">
  <autoFilter ref="$A$1:$BU$126"/>
  <tableColumns count="73">
    <tableColumn id="1" name="ID"/>
    <tableColumn id="2" name="Ámbito"/>
    <tableColumn id="3" name="Comunidad autónoma"/>
    <tableColumn id="4" name="Periodo presidencial"/>
    <tableColumn id="5" name="Nombre"/>
    <tableColumn id="6" name="Tipo de creación / transformación"/>
    <tableColumn id="7" name="Fecha legal"/>
    <tableColumn id="8" name="Norma fundacional"/>
    <tableColumn id="9" name="Mandato en teoría"/>
    <tableColumn id="10" name="Poder real: juicio basado en evidencia"/>
    <tableColumn id="11" name="Presupuesto propio (EUR millones)"/>
    <tableColumn id="12" name="Año del presupuesto"/>
    <tableColumn id="13" name="Base del presupuesto numérico"/>
    <tableColumn id="14" name="Corte del presupuesto numérico"/>
    <tableColumn id="15" name="Estado de cuantificación"/>
    <tableColumn id="16" name="Crédito inicial (EUR millones)"/>
    <tableColumn id="17" name="Modificación neta (EUR millones)"/>
    <tableColumn id="18" name="Presupuesto: texto completo"/>
    <tableColumn id="19" name="Corte: texto completo"/>
    <tableColumn id="20" name="Estado legal y operativo"/>
    <tableColumn id="21" name="Límites del juicio"/>
    <tableColumn id="22" name="Duplicidades: clasificación (juicio)"/>
    <tableColumn id="23" name="IDs relacionados"/>
    <tableColumn id="24" name="Duplicidades: explicación y límite"/>
    <tableColumn id="25" name="Fuentes de duplicidad"/>
    <tableColumn id="26" name="Fuentes de la ficha"/>
    <tableColumn id="27" name="Importe contextual (EUR millones; NO sumar)"/>
    <tableColumn id="28" name="Año / periodo contextual"/>
    <tableColumn id="29" name="Base contextual"/>
    <tableColumn id="30" name="Nombre del titular del importe"/>
    <tableColumn id="31" name="URL del documento"/>
    <tableColumn id="32" name="Fecha de revisión"/>
    <tableColumn id="33" name="Personal: personas (ocupadas)"/>
    <tableColumn id="34" name="Año del personal"/>
    <tableColumn id="35" name="Base del personal"/>
    <tableColumn id="36" name="Estado de verificación del personal"/>
    <tableColumn id="37" name="Fuente del personal"/>
    <tableColumn id="38" name="Crédito de personal (EUR millones)"/>
    <tableColumn id="39" name="Año del coste de personal"/>
    <tableColumn id="40" name="Base del coste de personal"/>
    <tableColumn id="41" name="Estado de verificación del coste"/>
    <tableColumn id="42" name="Fuente del coste"/>
    <tableColumn id="43" name="Gasto de personal ejecutado (EUR millones)"/>
    <tableColumn id="44" name="Año del gasto de personal"/>
    <tableColumn id="45" name="Corte de ejecución de personal"/>
    <tableColumn id="46" name="Base de ejecución de personal"/>
    <tableColumn id="47" name="Fuente de ejecución de personal"/>
    <tableColumn id="48" name="Estado de verificación de ejecución"/>
    <tableColumn id="49" name="Cobertura presupuesto / personal / salarios"/>
    <tableColumn id="50" name="Puestos aprobados / presupuestados"/>
    <tableColumn id="51" name="Fecha puestos aprobados"/>
    <tableColumn id="52" name="Base de puestos aprobados"/>
    <tableColumn id="53" name="Fuente puestos aprobados"/>
    <tableColumn id="54" name="Notas de personal y apoyo ministerial"/>
    <tableColumn id="55" name="Papel en leyes / reglamentos: verificación"/>
    <tableColumn id="56" name="Informe obligatorio (preceptivo): ámbito"/>
    <tableColumn id="57" name="Informe vinculante / consentimiento requerido"/>
    <tableColumn id="58" name="Bloqueo o demora: alcance y límite"/>
    <tableColumn id="59" name="Norma / artículo sobre consulta"/>
    <tableColumn id="60" name="Fuente legal de consulta normativa"/>
    <tableColumn id="61" name="Pagos de personal 2026 hasta 31/08 (EUR millones)"/>
    <tableColumn id="62" name="Crédito personal comparativo2025, edición08.2026 (EUR millones)"/>
    <tableColumn id="63" name="Obligaciones personal comparativo2025, edición08.2026 (EUR millones)"/>
    <tableColumn id="64" name="Crédito personal inicial / otra base (EUR millones; NO sumar)"/>
    <tableColumn id="65" name="Base / fecha del crédito alternativo"/>
    <tableColumn id="66" name="Notas de conciliación de crédito y ejecución"/>
    <tableColumn id="67" name="Crédito personal 2025 cierre (EUR millones)"/>
    <tableColumn id="68" name="Gasto personal 2025 reconocido anual (EUR millones)"/>
    <tableColumn id="69" name="Pagos personal 2025 anual (EUR millones)"/>
    <tableColumn id="70" name="Año y corte anual personal"/>
    <tableColumn id="71" name="Base anual de personal"/>
    <tableColumn id="72" name="Fuente anual de personal"/>
    <tableColumn id="73" name="Verificación anual / conciliación"/>
  </tableColumns>
  <tableStyleInfo name="Hoja 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files.instinct.com/q91pr53q4umo-entidades-publicas-poder-y-presupuesto" TargetMode="External" Id="rId1"/><Relationship Type="http://schemas.openxmlformats.org/officeDocument/2006/relationships/hyperlink" Target="https://files.instinct.com/q91pr53q4umo-entidades-publicas-poder-y-presupuesto" TargetMode="External" Id="rId2"/><Relationship Type="http://schemas.openxmlformats.org/officeDocument/2006/relationships/hyperlink" Target="https://files.instinct.com/q91pr53q4umo-entidades-publicas-poder-y-presupuesto" TargetMode="External" Id="rId3"/><Relationship Type="http://schemas.openxmlformats.org/officeDocument/2006/relationships/hyperlink" Target="https://files.instinct.com/q91pr53q4umo-entidades-publicas-poder-y-presupuesto" TargetMode="External" Id="rId4"/><Relationship Type="http://schemas.openxmlformats.org/officeDocument/2006/relationships/hyperlink" Target="https://files.instinct.com/q91pr53q4umo-entidades-publicas-poder-y-presupuesto" TargetMode="External" Id="rId5"/><Relationship Type="http://schemas.openxmlformats.org/officeDocument/2006/relationships/hyperlink" Target="https://files.instinct.com/q91pr53q4umo-entidades-publicas-poder-y-presupuesto" TargetMode="External" Id="rId6"/><Relationship Type="http://schemas.openxmlformats.org/officeDocument/2006/relationships/hyperlink" Target="https://files.instinct.com/q91pr53q4umo-entidades-publicas-poder-y-presupuesto" TargetMode="External" Id="rId7"/><Relationship Type="http://schemas.openxmlformats.org/officeDocument/2006/relationships/hyperlink" Target="https://files.instinct.com/q91pr53q4umo-entidades-publicas-poder-y-presupuesto" TargetMode="External" Id="rId8"/><Relationship Type="http://schemas.openxmlformats.org/officeDocument/2006/relationships/hyperlink" Target="https://files.instinct.com/q91pr53q4umo-entidades-publicas-poder-y-presupuesto" TargetMode="External" Id="rId9"/><Relationship Type="http://schemas.openxmlformats.org/officeDocument/2006/relationships/hyperlink" Target="https://files.instinct.com/q91pr53q4umo-entidades-publicas-poder-y-presupuesto" TargetMode="External" Id="rId10"/><Relationship Type="http://schemas.openxmlformats.org/officeDocument/2006/relationships/hyperlink" Target="https://files.instinct.com/q91pr53q4umo-entidades-publicas-poder-y-presupuesto" TargetMode="External" Id="rId11"/><Relationship Type="http://schemas.openxmlformats.org/officeDocument/2006/relationships/hyperlink" Target="https://files.instinct.com/q91pr53q4umo-entidades-publicas-poder-y-presupuesto" TargetMode="External" Id="rId12"/><Relationship Type="http://schemas.openxmlformats.org/officeDocument/2006/relationships/hyperlink" Target="https://files.instinct.com/q91pr53q4umo-entidades-publicas-poder-y-presupuesto" TargetMode="External" Id="rId13"/><Relationship Type="http://schemas.openxmlformats.org/officeDocument/2006/relationships/hyperlink" Target="https://files.instinct.com/q91pr53q4umo-entidades-publicas-poder-y-presupuesto" TargetMode="External" Id="rId14"/><Relationship Type="http://schemas.openxmlformats.org/officeDocument/2006/relationships/hyperlink" Target="https://files.instinct.com/q91pr53q4umo-entidades-publicas-poder-y-presupuesto" TargetMode="External" Id="rId15"/><Relationship Type="http://schemas.openxmlformats.org/officeDocument/2006/relationships/hyperlink" Target="https://files.instinct.com/q91pr53q4umo-entidades-publicas-poder-y-presupuesto" TargetMode="External" Id="rId16"/><Relationship Type="http://schemas.openxmlformats.org/officeDocument/2006/relationships/hyperlink" Target="https://files.instinct.com/q91pr53q4umo-entidades-publicas-poder-y-presupuesto" TargetMode="External" Id="rId17"/><Relationship Type="http://schemas.openxmlformats.org/officeDocument/2006/relationships/hyperlink" Target="https://files.instinct.com/q91pr53q4umo-entidades-publicas-poder-y-presupuesto" TargetMode="External" Id="rId18"/><Relationship Type="http://schemas.openxmlformats.org/officeDocument/2006/relationships/hyperlink" Target="https://files.instinct.com/q91pr53q4umo-entidades-publicas-poder-y-presupuesto" TargetMode="External" Id="rId19"/><Relationship Type="http://schemas.openxmlformats.org/officeDocument/2006/relationships/hyperlink" Target="https://files.instinct.com/q91pr53q4umo-entidades-publicas-poder-y-presupuesto" TargetMode="External" Id="rId20"/><Relationship Type="http://schemas.openxmlformats.org/officeDocument/2006/relationships/hyperlink" Target="https://files.instinct.com/q91pr53q4umo-entidades-publicas-poder-y-presupuesto" TargetMode="External" Id="rId21"/><Relationship Type="http://schemas.openxmlformats.org/officeDocument/2006/relationships/hyperlink" Target="https://files.instinct.com/q91pr53q4umo-entidades-publicas-poder-y-presupuesto" TargetMode="External" Id="rId22"/><Relationship Type="http://schemas.openxmlformats.org/officeDocument/2006/relationships/hyperlink" Target="https://files.instinct.com/q91pr53q4umo-entidades-publicas-poder-y-presupuesto" TargetMode="External" Id="rId23"/><Relationship Type="http://schemas.openxmlformats.org/officeDocument/2006/relationships/hyperlink" Target="https://files.instinct.com/q91pr53q4umo-entidades-publicas-poder-y-presupuesto" TargetMode="External" Id="rId24"/><Relationship Type="http://schemas.openxmlformats.org/officeDocument/2006/relationships/hyperlink" Target="https://files.instinct.com/q91pr53q4umo-entidades-publicas-poder-y-presupuesto" TargetMode="External" Id="rId25"/><Relationship Type="http://schemas.openxmlformats.org/officeDocument/2006/relationships/hyperlink" Target="https://files.instinct.com/q91pr53q4umo-entidades-publicas-poder-y-presupuesto" TargetMode="External" Id="rId26"/><Relationship Type="http://schemas.openxmlformats.org/officeDocument/2006/relationships/hyperlink" Target="https://files.instinct.com/q91pr53q4umo-entidades-publicas-poder-y-presupuesto" TargetMode="External" Id="rId27"/><Relationship Type="http://schemas.openxmlformats.org/officeDocument/2006/relationships/hyperlink" Target="https://files.instinct.com/q91pr53q4umo-entidades-publicas-poder-y-presupuesto" TargetMode="External" Id="rId28"/><Relationship Type="http://schemas.openxmlformats.org/officeDocument/2006/relationships/hyperlink" Target="https://files.instinct.com/q91pr53q4umo-entidades-publicas-poder-y-presupuesto" TargetMode="External" Id="rId29"/><Relationship Type="http://schemas.openxmlformats.org/officeDocument/2006/relationships/hyperlink" Target="https://files.instinct.com/q91pr53q4umo-entidades-publicas-poder-y-presupuesto" TargetMode="External" Id="rId30"/><Relationship Type="http://schemas.openxmlformats.org/officeDocument/2006/relationships/hyperlink" Target="https://files.instinct.com/q91pr53q4umo-entidades-publicas-poder-y-presupuesto" TargetMode="External" Id="rId31"/><Relationship Type="http://schemas.openxmlformats.org/officeDocument/2006/relationships/hyperlink" Target="https://files.instinct.com/q91pr53q4umo-entidades-publicas-poder-y-presupuesto" TargetMode="External" Id="rId32"/><Relationship Type="http://schemas.openxmlformats.org/officeDocument/2006/relationships/hyperlink" Target="https://files.instinct.com/q91pr53q4umo-entidades-publicas-poder-y-presupuesto" TargetMode="External" Id="rId33"/><Relationship Type="http://schemas.openxmlformats.org/officeDocument/2006/relationships/hyperlink" Target="https://files.instinct.com/q91pr53q4umo-entidades-publicas-poder-y-presupuesto" TargetMode="External" Id="rId34"/><Relationship Type="http://schemas.openxmlformats.org/officeDocument/2006/relationships/hyperlink" Target="https://files.instinct.com/q91pr53q4umo-entidades-publicas-poder-y-presupuesto" TargetMode="External" Id="rId35"/><Relationship Type="http://schemas.openxmlformats.org/officeDocument/2006/relationships/hyperlink" Target="https://files.instinct.com/q91pr53q4umo-entidades-publicas-poder-y-presupuesto" TargetMode="External" Id="rId36"/><Relationship Type="http://schemas.openxmlformats.org/officeDocument/2006/relationships/hyperlink" Target="https://files.instinct.com/q91pr53q4umo-entidades-publicas-poder-y-presupuesto" TargetMode="External" Id="rId37"/><Relationship Type="http://schemas.openxmlformats.org/officeDocument/2006/relationships/hyperlink" Target="https://files.instinct.com/q91pr53q4umo-entidades-publicas-poder-y-presupuesto" TargetMode="External" Id="rId38"/><Relationship Type="http://schemas.openxmlformats.org/officeDocument/2006/relationships/hyperlink" Target="https://files.instinct.com/q91pr53q4umo-entidades-publicas-poder-y-presupuesto" TargetMode="External" Id="rId39"/><Relationship Type="http://schemas.openxmlformats.org/officeDocument/2006/relationships/hyperlink" Target="https://files.instinct.com/q91pr53q4umo-entidades-publicas-poder-y-presupuesto" TargetMode="External" Id="rId40"/><Relationship Type="http://schemas.openxmlformats.org/officeDocument/2006/relationships/hyperlink" Target="https://files.instinct.com/q91pr53q4umo-entidades-publicas-poder-y-presupuesto" TargetMode="External" Id="rId41"/><Relationship Type="http://schemas.openxmlformats.org/officeDocument/2006/relationships/hyperlink" Target="https://files.instinct.com/q91pr53q4umo-entidades-publicas-poder-y-presupuesto" TargetMode="External" Id="rId42"/><Relationship Type="http://schemas.openxmlformats.org/officeDocument/2006/relationships/hyperlink" Target="https://files.instinct.com/q91pr53q4umo-entidades-publicas-poder-y-presupuesto" TargetMode="External" Id="rId43"/><Relationship Type="http://schemas.openxmlformats.org/officeDocument/2006/relationships/hyperlink" Target="https://files.instinct.com/q91pr53q4umo-entidades-publicas-poder-y-presupuesto" TargetMode="External" Id="rId44"/><Relationship Type="http://schemas.openxmlformats.org/officeDocument/2006/relationships/hyperlink" Target="https://files.instinct.com/q91pr53q4umo-entidades-publicas-poder-y-presupuesto" TargetMode="External" Id="rId45"/><Relationship Type="http://schemas.openxmlformats.org/officeDocument/2006/relationships/hyperlink" Target="https://files.instinct.com/q91pr53q4umo-entidades-publicas-poder-y-presupuesto" TargetMode="External" Id="rId46"/><Relationship Type="http://schemas.openxmlformats.org/officeDocument/2006/relationships/hyperlink" Target="https://files.instinct.com/q91pr53q4umo-entidades-publicas-poder-y-presupuesto" TargetMode="External" Id="rId47"/><Relationship Type="http://schemas.openxmlformats.org/officeDocument/2006/relationships/hyperlink" Target="https://files.instinct.com/q91pr53q4umo-entidades-publicas-poder-y-presupuesto" TargetMode="External" Id="rId48"/><Relationship Type="http://schemas.openxmlformats.org/officeDocument/2006/relationships/hyperlink" Target="https://files.instinct.com/q91pr53q4umo-entidades-publicas-poder-y-presupuesto" TargetMode="External" Id="rId49"/><Relationship Type="http://schemas.openxmlformats.org/officeDocument/2006/relationships/hyperlink" Target="https://files.instinct.com/q91pr53q4umo-entidades-publicas-poder-y-presupuesto" TargetMode="External" Id="rId50"/><Relationship Type="http://schemas.openxmlformats.org/officeDocument/2006/relationships/hyperlink" Target="https://files.instinct.com/q91pr53q4umo-entidades-publicas-poder-y-presupuesto" TargetMode="External" Id="rId51"/><Relationship Type="http://schemas.openxmlformats.org/officeDocument/2006/relationships/hyperlink" Target="https://files.instinct.com/q91pr53q4umo-entidades-publicas-poder-y-presupuesto" TargetMode="External" Id="rId52"/><Relationship Type="http://schemas.openxmlformats.org/officeDocument/2006/relationships/hyperlink" Target="https://files.instinct.com/q91pr53q4umo-entidades-publicas-poder-y-presupuesto" TargetMode="External" Id="rId53"/><Relationship Type="http://schemas.openxmlformats.org/officeDocument/2006/relationships/hyperlink" Target="https://files.instinct.com/q91pr53q4umo-entidades-publicas-poder-y-presupuesto" TargetMode="External" Id="rId54"/><Relationship Type="http://schemas.openxmlformats.org/officeDocument/2006/relationships/hyperlink" Target="https://files.instinct.com/q91pr53q4umo-entidades-publicas-poder-y-presupuesto" TargetMode="External" Id="rId55"/><Relationship Type="http://schemas.openxmlformats.org/officeDocument/2006/relationships/hyperlink" Target="https://files.instinct.com/q91pr53q4umo-entidades-publicas-poder-y-presupuesto" TargetMode="External" Id="rId56"/><Relationship Type="http://schemas.openxmlformats.org/officeDocument/2006/relationships/hyperlink" Target="https://files.instinct.com/q91pr53q4umo-entidades-publicas-poder-y-presupuesto" TargetMode="External" Id="rId57"/><Relationship Type="http://schemas.openxmlformats.org/officeDocument/2006/relationships/hyperlink" Target="https://files.instinct.com/q91pr53q4umo-entidades-publicas-poder-y-presupuesto" TargetMode="External" Id="rId58"/><Relationship Type="http://schemas.openxmlformats.org/officeDocument/2006/relationships/hyperlink" Target="https://files.instinct.com/q91pr53q4umo-entidades-publicas-poder-y-presupuesto" TargetMode="External" Id="rId59"/><Relationship Type="http://schemas.openxmlformats.org/officeDocument/2006/relationships/hyperlink" Target="https://files.instinct.com/q91pr53q4umo-entidades-publicas-poder-y-presupuesto" TargetMode="External" Id="rId60"/><Relationship Type="http://schemas.openxmlformats.org/officeDocument/2006/relationships/hyperlink" Target="https://files.instinct.com/q91pr53q4umo-entidades-publicas-poder-y-presupuesto" TargetMode="External" Id="rId61"/><Relationship Type="http://schemas.openxmlformats.org/officeDocument/2006/relationships/hyperlink" Target="https://files.instinct.com/q91pr53q4umo-entidades-publicas-poder-y-presupuesto" TargetMode="External" Id="rId62"/><Relationship Type="http://schemas.openxmlformats.org/officeDocument/2006/relationships/hyperlink" Target="https://files.instinct.com/q91pr53q4umo-entidades-publicas-poder-y-presupuesto" TargetMode="External" Id="rId63"/><Relationship Type="http://schemas.openxmlformats.org/officeDocument/2006/relationships/hyperlink" Target="https://files.instinct.com/q91pr53q4umo-entidades-publicas-poder-y-presupuesto" TargetMode="External" Id="rId64"/><Relationship Type="http://schemas.openxmlformats.org/officeDocument/2006/relationships/hyperlink" Target="https://files.instinct.com/q91pr53q4umo-entidades-publicas-poder-y-presupuesto" TargetMode="External" Id="rId65"/><Relationship Type="http://schemas.openxmlformats.org/officeDocument/2006/relationships/hyperlink" Target="https://files.instinct.com/q91pr53q4umo-entidades-publicas-poder-y-presupuesto" TargetMode="External" Id="rId66"/><Relationship Type="http://schemas.openxmlformats.org/officeDocument/2006/relationships/hyperlink" Target="https://files.instinct.com/q91pr53q4umo-entidades-publicas-poder-y-presupuesto" TargetMode="External" Id="rId67"/><Relationship Type="http://schemas.openxmlformats.org/officeDocument/2006/relationships/hyperlink" Target="https://files.instinct.com/q91pr53q4umo-entidades-publicas-poder-y-presupuesto" TargetMode="External" Id="rId68"/><Relationship Type="http://schemas.openxmlformats.org/officeDocument/2006/relationships/hyperlink" Target="https://files.instinct.com/q91pr53q4umo-entidades-publicas-poder-y-presupuesto" TargetMode="External" Id="rId69"/><Relationship Type="http://schemas.openxmlformats.org/officeDocument/2006/relationships/hyperlink" Target="https://files.instinct.com/q91pr53q4umo-entidades-publicas-poder-y-presupuesto" TargetMode="External" Id="rId70"/><Relationship Type="http://schemas.openxmlformats.org/officeDocument/2006/relationships/hyperlink" Target="https://files.instinct.com/q91pr53q4umo-entidades-publicas-poder-y-presupuesto" TargetMode="External" Id="rId71"/><Relationship Type="http://schemas.openxmlformats.org/officeDocument/2006/relationships/hyperlink" Target="https://files.instinct.com/q91pr53q4umo-entidades-publicas-poder-y-presupuesto" TargetMode="External" Id="rId72"/><Relationship Type="http://schemas.openxmlformats.org/officeDocument/2006/relationships/hyperlink" Target="https://files.instinct.com/q91pr53q4umo-entidades-publicas-poder-y-presupuesto" TargetMode="External" Id="rId73"/><Relationship Type="http://schemas.openxmlformats.org/officeDocument/2006/relationships/hyperlink" Target="https://files.instinct.com/q91pr53q4umo-entidades-publicas-poder-y-presupuesto" TargetMode="External" Id="rId74"/><Relationship Type="http://schemas.openxmlformats.org/officeDocument/2006/relationships/hyperlink" Target="https://files.instinct.com/q91pr53q4umo-entidades-publicas-poder-y-presupuesto" TargetMode="External" Id="rId75"/><Relationship Type="http://schemas.openxmlformats.org/officeDocument/2006/relationships/hyperlink" Target="https://files.instinct.com/q91pr53q4umo-entidades-publicas-poder-y-presupuesto" TargetMode="External" Id="rId76"/><Relationship Type="http://schemas.openxmlformats.org/officeDocument/2006/relationships/hyperlink" Target="https://files.instinct.com/q91pr53q4umo-entidades-publicas-poder-y-presupuesto" TargetMode="External" Id="rId77"/><Relationship Type="http://schemas.openxmlformats.org/officeDocument/2006/relationships/hyperlink" Target="https://files.instinct.com/q91pr53q4umo-entidades-publicas-poder-y-presupuesto" TargetMode="External" Id="rId78"/><Relationship Type="http://schemas.openxmlformats.org/officeDocument/2006/relationships/hyperlink" Target="https://files.instinct.com/q91pr53q4umo-entidades-publicas-poder-y-presupuesto" TargetMode="External" Id="rId79"/><Relationship Type="http://schemas.openxmlformats.org/officeDocument/2006/relationships/hyperlink" Target="https://files.instinct.com/q91pr53q4umo-entidades-publicas-poder-y-presupuesto" TargetMode="External" Id="rId80"/><Relationship Type="http://schemas.openxmlformats.org/officeDocument/2006/relationships/hyperlink" Target="https://files.instinct.com/q91pr53q4umo-entidades-publicas-poder-y-presupuesto" TargetMode="External" Id="rId81"/><Relationship Type="http://schemas.openxmlformats.org/officeDocument/2006/relationships/hyperlink" Target="https://files.instinct.com/q91pr53q4umo-entidades-publicas-poder-y-presupuesto" TargetMode="External" Id="rId82"/><Relationship Type="http://schemas.openxmlformats.org/officeDocument/2006/relationships/hyperlink" Target="https://files.instinct.com/q91pr53q4umo-entidades-publicas-poder-y-presupuesto" TargetMode="External" Id="rId83"/><Relationship Type="http://schemas.openxmlformats.org/officeDocument/2006/relationships/hyperlink" Target="https://files.instinct.com/q91pr53q4umo-entidades-publicas-poder-y-presupuesto" TargetMode="External" Id="rId84"/><Relationship Type="http://schemas.openxmlformats.org/officeDocument/2006/relationships/hyperlink" Target="https://files.instinct.com/q91pr53q4umo-entidades-publicas-poder-y-presupuesto" TargetMode="External" Id="rId85"/><Relationship Type="http://schemas.openxmlformats.org/officeDocument/2006/relationships/hyperlink" Target="https://files.instinct.com/q91pr53q4umo-entidades-publicas-poder-y-presupuesto" TargetMode="External" Id="rId86"/><Relationship Type="http://schemas.openxmlformats.org/officeDocument/2006/relationships/hyperlink" Target="https://files.instinct.com/q91pr53q4umo-entidades-publicas-poder-y-presupuesto" TargetMode="External" Id="rId87"/><Relationship Type="http://schemas.openxmlformats.org/officeDocument/2006/relationships/hyperlink" Target="https://files.instinct.com/q91pr53q4umo-entidades-publicas-poder-y-presupuesto" TargetMode="External" Id="rId88"/><Relationship Type="http://schemas.openxmlformats.org/officeDocument/2006/relationships/hyperlink" Target="https://files.instinct.com/q91pr53q4umo-entidades-publicas-poder-y-presupuesto" TargetMode="External" Id="rId89"/><Relationship Type="http://schemas.openxmlformats.org/officeDocument/2006/relationships/hyperlink" Target="https://files.instinct.com/q91pr53q4umo-entidades-publicas-poder-y-presupuesto" TargetMode="External" Id="rId90"/><Relationship Type="http://schemas.openxmlformats.org/officeDocument/2006/relationships/hyperlink" Target="https://files.instinct.com/q91pr53q4umo-entidades-publicas-poder-y-presupuesto" TargetMode="External" Id="rId91"/><Relationship Type="http://schemas.openxmlformats.org/officeDocument/2006/relationships/hyperlink" Target="https://files.instinct.com/q91pr53q4umo-entidades-publicas-poder-y-presupuesto" TargetMode="External" Id="rId92"/><Relationship Type="http://schemas.openxmlformats.org/officeDocument/2006/relationships/hyperlink" Target="https://files.instinct.com/q91pr53q4umo-entidades-publicas-poder-y-presupuesto" TargetMode="External" Id="rId93"/><Relationship Type="http://schemas.openxmlformats.org/officeDocument/2006/relationships/hyperlink" Target="https://files.instinct.com/q91pr53q4umo-entidades-publicas-poder-y-presupuesto" TargetMode="External" Id="rId94"/><Relationship Type="http://schemas.openxmlformats.org/officeDocument/2006/relationships/hyperlink" Target="https://files.instinct.com/q91pr53q4umo-entidades-publicas-poder-y-presupuesto" TargetMode="External" Id="rId95"/><Relationship Type="http://schemas.openxmlformats.org/officeDocument/2006/relationships/hyperlink" Target="https://files.instinct.com/q91pr53q4umo-entidades-publicas-poder-y-presupuesto" TargetMode="External" Id="rId96"/><Relationship Type="http://schemas.openxmlformats.org/officeDocument/2006/relationships/hyperlink" Target="https://files.instinct.com/q91pr53q4umo-entidades-publicas-poder-y-presupuesto" TargetMode="External" Id="rId97"/><Relationship Type="http://schemas.openxmlformats.org/officeDocument/2006/relationships/hyperlink" Target="https://files.instinct.com/q91pr53q4umo-entidades-publicas-poder-y-presupuesto" TargetMode="External" Id="rId98"/><Relationship Type="http://schemas.openxmlformats.org/officeDocument/2006/relationships/hyperlink" Target="https://files.instinct.com/q91pr53q4umo-entidades-publicas-poder-y-presupuesto" TargetMode="External" Id="rId99"/><Relationship Type="http://schemas.openxmlformats.org/officeDocument/2006/relationships/hyperlink" Target="https://files.instinct.com/q91pr53q4umo-entidades-publicas-poder-y-presupuesto" TargetMode="External" Id="rId100"/><Relationship Type="http://schemas.openxmlformats.org/officeDocument/2006/relationships/hyperlink" Target="https://files.instinct.com/q91pr53q4umo-entidades-publicas-poder-y-presupuesto" TargetMode="External" Id="rId101"/><Relationship Type="http://schemas.openxmlformats.org/officeDocument/2006/relationships/hyperlink" Target="https://files.instinct.com/q91pr53q4umo-entidades-publicas-poder-y-presupuesto" TargetMode="External" Id="rId102"/><Relationship Type="http://schemas.openxmlformats.org/officeDocument/2006/relationships/hyperlink" Target="https://files.instinct.com/q91pr53q4umo-entidades-publicas-poder-y-presupuesto" TargetMode="External" Id="rId103"/><Relationship Type="http://schemas.openxmlformats.org/officeDocument/2006/relationships/hyperlink" Target="https://files.instinct.com/q91pr53q4umo-entidades-publicas-poder-y-presupuesto" TargetMode="External" Id="rId104"/><Relationship Type="http://schemas.openxmlformats.org/officeDocument/2006/relationships/hyperlink" Target="https://files.instinct.com/q91pr53q4umo-entidades-publicas-poder-y-presupuesto" TargetMode="External" Id="rId105"/><Relationship Type="http://schemas.openxmlformats.org/officeDocument/2006/relationships/hyperlink" Target="https://files.instinct.com/q91pr53q4umo-entidades-publicas-poder-y-presupuesto" TargetMode="External" Id="rId106"/><Relationship Type="http://schemas.openxmlformats.org/officeDocument/2006/relationships/hyperlink" Target="https://files.instinct.com/q91pr53q4umo-entidades-publicas-poder-y-presupuesto" TargetMode="External" Id="rId107"/><Relationship Type="http://schemas.openxmlformats.org/officeDocument/2006/relationships/hyperlink" Target="https://files.instinct.com/q91pr53q4umo-entidades-publicas-poder-y-presupuesto" TargetMode="External" Id="rId108"/><Relationship Type="http://schemas.openxmlformats.org/officeDocument/2006/relationships/hyperlink" Target="https://files.instinct.com/q91pr53q4umo-entidades-publicas-poder-y-presupuesto" TargetMode="External" Id="rId109"/><Relationship Type="http://schemas.openxmlformats.org/officeDocument/2006/relationships/hyperlink" Target="https://files.instinct.com/q91pr53q4umo-entidades-publicas-poder-y-presupuesto" TargetMode="External" Id="rId110"/><Relationship Type="http://schemas.openxmlformats.org/officeDocument/2006/relationships/hyperlink" Target="https://files.instinct.com/q91pr53q4umo-entidades-publicas-poder-y-presupuesto" TargetMode="External" Id="rId111"/><Relationship Type="http://schemas.openxmlformats.org/officeDocument/2006/relationships/hyperlink" Target="https://files.instinct.com/q91pr53q4umo-entidades-publicas-poder-y-presupuesto" TargetMode="External" Id="rId112"/><Relationship Type="http://schemas.openxmlformats.org/officeDocument/2006/relationships/hyperlink" Target="https://files.instinct.com/q91pr53q4umo-entidades-publicas-poder-y-presupuesto" TargetMode="External" Id="rId113"/><Relationship Type="http://schemas.openxmlformats.org/officeDocument/2006/relationships/hyperlink" Target="https://files.instinct.com/q91pr53q4umo-entidades-publicas-poder-y-presupuesto" TargetMode="External" Id="rId114"/><Relationship Type="http://schemas.openxmlformats.org/officeDocument/2006/relationships/hyperlink" Target="https://files.instinct.com/q91pr53q4umo-entidades-publicas-poder-y-presupuesto" TargetMode="External" Id="rId115"/><Relationship Type="http://schemas.openxmlformats.org/officeDocument/2006/relationships/hyperlink" Target="https://files.instinct.com/q91pr53q4umo-entidades-publicas-poder-y-presupuesto" TargetMode="External" Id="rId116"/><Relationship Type="http://schemas.openxmlformats.org/officeDocument/2006/relationships/hyperlink" Target="https://files.instinct.com/q91pr53q4umo-entidades-publicas-poder-y-presupuesto" TargetMode="External" Id="rId117"/><Relationship Type="http://schemas.openxmlformats.org/officeDocument/2006/relationships/hyperlink" Target="https://files.instinct.com/q91pr53q4umo-entidades-publicas-poder-y-presupuesto" TargetMode="External" Id="rId118"/><Relationship Type="http://schemas.openxmlformats.org/officeDocument/2006/relationships/hyperlink" Target="https://files.instinct.com/q91pr53q4umo-entidades-publicas-poder-y-presupuesto" TargetMode="External" Id="rId119"/><Relationship Type="http://schemas.openxmlformats.org/officeDocument/2006/relationships/hyperlink" Target="https://files.instinct.com/q91pr53q4umo-entidades-publicas-poder-y-presupuesto" TargetMode="External" Id="rId120"/><Relationship Type="http://schemas.openxmlformats.org/officeDocument/2006/relationships/hyperlink" Target="https://files.instinct.com/q91pr53q4umo-entidades-publicas-poder-y-presupuesto" TargetMode="External" Id="rId121"/><Relationship Type="http://schemas.openxmlformats.org/officeDocument/2006/relationships/hyperlink" Target="https://files.instinct.com/q91pr53q4umo-entidades-publicas-poder-y-presupuesto" TargetMode="External" Id="rId122"/><Relationship Type="http://schemas.openxmlformats.org/officeDocument/2006/relationships/hyperlink" Target="https://files.instinct.com/q91pr53q4umo-entidades-publicas-poder-y-presupuesto" TargetMode="External" Id="rId123"/><Relationship Type="http://schemas.openxmlformats.org/officeDocument/2006/relationships/table" Target="/xl/tables/table1.xml" Id="rId12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P54"/>
  <sheetViews>
    <sheetView showGridLines="0" workbookViewId="0">
      <pane xSplit="8" topLeftCell="I1" activePane="topRight" state="frozen"/>
      <selection pane="topRight" activeCell="J2" sqref="J2"/>
    </sheetView>
  </sheetViews>
  <sheetFormatPr baseColWidth="8" defaultColWidth="14.43" defaultRowHeight="15" customHeight="1"/>
  <cols>
    <col width="6" customWidth="1" style="15" min="1" max="1"/>
    <col width="24" customWidth="1" style="15" min="2" max="2"/>
    <col width="28" customWidth="1" style="15" min="3" max="3"/>
    <col width="20" customWidth="1" style="15" min="4" max="4"/>
    <col width="48" customWidth="1" style="15" min="5" max="5"/>
    <col width="38" customWidth="1" style="15" min="6" max="6"/>
    <col width="18" customWidth="1" style="15" min="7" max="7"/>
    <col width="38" customWidth="1" style="15" min="8" max="8"/>
    <col width="60" customWidth="1" style="15" min="9" max="9"/>
    <col width="62" customWidth="1" style="15" min="10" max="10"/>
    <col width="22" customWidth="1" style="15" min="11" max="11"/>
    <col width="16" customWidth="1" style="15" min="12" max="12"/>
    <col width="28" customWidth="1" style="15" min="13" max="13"/>
    <col width="22" customWidth="1" style="15" min="14" max="14"/>
    <col width="38" customWidth="1" style="15" min="15" max="15"/>
    <col width="22" customWidth="1" style="15" min="16" max="17"/>
    <col width="75" customWidth="1" style="15" min="18" max="18"/>
    <col width="38" customWidth="1" style="15" min="19" max="19"/>
    <col width="60" customWidth="1" style="15" min="20" max="20"/>
    <col width="62" customWidth="1" style="15" min="21" max="21"/>
    <col width="42" customWidth="1" style="15" min="22" max="22"/>
    <col width="16" customWidth="1" style="15" min="23" max="23"/>
    <col width="85" customWidth="1" style="15" min="24" max="24"/>
    <col width="70" customWidth="1" style="15" min="25" max="26"/>
    <col width="24" customWidth="1" style="15" min="27" max="28"/>
    <col width="52" customWidth="1" style="15" min="29" max="29"/>
    <col width="48" customWidth="1" style="15" min="30" max="30"/>
    <col width="90" customWidth="1" style="15" min="31" max="31"/>
    <col width="18" customWidth="1" style="15" min="32" max="32"/>
    <col width="20" customWidth="1" style="15" min="33" max="33"/>
    <col width="18" customWidth="1" style="15" min="34" max="34"/>
    <col width="55" customWidth="1" style="15" min="35" max="35"/>
    <col width="65" customWidth="1" style="15" min="36" max="37"/>
    <col width="24" customWidth="1" style="15" min="38" max="38"/>
    <col width="20" customWidth="1" style="15" min="39" max="39"/>
    <col width="45" customWidth="1" style="15" min="40" max="40"/>
    <col width="65" customWidth="1" style="15" min="41" max="42"/>
    <col width="42" customWidth="1" style="15" min="43" max="46"/>
    <col width="70" customWidth="1" style="15" min="47" max="47"/>
    <col width="42" customWidth="1" style="15" min="48" max="49"/>
    <col width="55" customWidth="1" style="15" min="50" max="54"/>
    <col width="60" customWidth="1" style="15" min="55" max="60"/>
    <col width="55" customWidth="1" style="15" min="61" max="73"/>
  </cols>
  <sheetData>
    <row r="1" ht="34.5" customHeight="1" s="15">
      <c r="A1" s="16" t="inlineStr">
        <is>
          <t>Entidades públicas: poder, presupuesto y posibles duplicidades</t>
        </is>
      </c>
    </row>
    <row r="2" ht="45" customHeight="1" s="15">
      <c r="A2" s="10" t="inlineStr">
        <is>
          <t>125 registros: 69 estatales + 3 creaciones legales de constitución no confirmada + 53 autonómicos. Inventario parcial, no censo exhaustivo.</t>
        </is>
      </c>
    </row>
    <row r="3" ht="214.5" customHeight="1" s="15">
      <c r="A3" s="10" t="inlineStr">
        <is>
          <t>Columnas numéricas en EUR millones: 44,3 = 44,3 millones de euros. El texto original puede conservar euros. Vacío = sin cifra propia verificada; nunca sustituir por cero. Filtrar año y base antes de sumar. Duplicidad es un juicio de relación, NO una prueba de gasto inútil o doble financiación. Personal ocupado, puestos aprobados, crédito de personal y gasto ejecutado son medidas separadas; no sumar distintos años. Consulta: preceptivo no significa vinculante. No equivale a veto; distinguir ley, reglamento y plan. Pendiente no significa NO. La consulta o audiencia a asociaciones no significa consentimiento obligatorio (Ley 50/1997, art. 26.6). Revisados125 casos de consulta a nivel de las fuentes citadas;0 pendientes de esta pasada. No auditoría exhaustiva de toda la normativa sectorial. Informes preceptivos sectoriales verificados en varios órganos actuales e históricos; no equivalen a vetos. Pasada de consulta finalizada en las fuentes citadas. Personal ejecutado: obligaciones reconocidas cap1 hasta31/08/2026,8meses, no salario puro ni año completo. Pagos separados; ninguna ausencia sustituida por0. Añadido cierre2025:19 entidades con gasto anual cap1, separado de2026parcial. Emergencias: personas y crédito solo programa2.2.B, NO agencia entera.</t>
        </is>
      </c>
    </row>
    <row r="4" ht="39.75" customHeight="1" s="15">
      <c r="A4" s="17" t="inlineStr">
        <is>
          <t>Resumen 2026 por base: suma propia verificada EUR millones y número de registros; NO sumar bases mezcladas</t>
        </is>
      </c>
    </row>
    <row r="5" ht="60" customHeight="1" s="15">
      <c r="A5" s="10" t="n"/>
      <c r="B5" s="10" t="inlineStr">
        <is>
          <t>Crédito total actualizado</t>
        </is>
      </c>
      <c r="C5" s="6">
        <f>SUMIFS('Hoja 1'!K2:K126,'Hoja 1'!L2:L126,2026,'Hoja 1'!M2:M126,B5)</f>
        <v/>
      </c>
      <c r="D5" s="10">
        <f>COUNTIFS('Hoja 1'!L2:L126,2026,'Hoja 1'!M2:M126,B5,'Hoja 1'!K2:K126,"&gt;0")</f>
        <v/>
      </c>
      <c r="E5" s="10">
        <f>"Personal 2026 reconocido hasta 31/08 (IGAE), EUR millones ("&amp;COUNTIFS('Hoja 1'!AQ2:AQ126,"&lt;&gt;",'Hoja 1'!AS2:AS126,"Hasta 31/08/2026:8 meses, NO año completo")&amp;" entidades; NO salarios puros; otros cortes en Hoja 1, no se suman)"</f>
        <v/>
      </c>
      <c r="F5" s="7">
        <f>SUMIFS('Hoja 1'!AQ2:AQ126,'Hoja 1'!AR2:AR126,2026,'Hoja 1'!AS2:AS126,"Hasta 31/08/2026:8 meses, NO año completo")</f>
        <v/>
      </c>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row>
    <row r="6" ht="60" customHeight="1" s="15">
      <c r="A6" s="10" t="n"/>
      <c r="B6" s="10" t="inlineStr">
        <is>
          <t>Crédito inicial aprobado</t>
        </is>
      </c>
      <c r="C6" s="6">
        <f>SUMIFS('Hoja 1'!K2:K126,'Hoja 1'!L2:L126,2026,'Hoja 1'!M2:M126,B6)</f>
        <v/>
      </c>
      <c r="D6" s="10">
        <f>COUNTIFS('Hoja 1'!L2:L126,2026,'Hoja 1'!M2:M126,B6,'Hoja 1'!K2:K126,"&gt;0")</f>
        <v/>
      </c>
      <c r="E6" s="10">
        <f>"Pagos personal 2026 hasta 31/08, EUR millones ("&amp;COUNT('Hoja 1'!BI2:BI126)&amp;" entidades)"</f>
        <v/>
      </c>
      <c r="F6" s="7">
        <f>SUM('Hoja 1'!BI2:BI126)</f>
        <v/>
      </c>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s="10" t="n"/>
      <c r="AG6" s="10" t="n"/>
      <c r="AH6" s="10" t="n"/>
      <c r="AI6" s="10" t="n"/>
      <c r="AJ6" s="10" t="n"/>
      <c r="AK6" s="10" t="n"/>
      <c r="AL6" s="10" t="n"/>
      <c r="AM6" s="10" t="n"/>
      <c r="AN6" s="10" t="n"/>
      <c r="AO6" s="10" t="n"/>
      <c r="AP6" s="10" t="n"/>
    </row>
    <row r="7" ht="60" customHeight="1" s="15">
      <c r="A7" s="10" t="n"/>
      <c r="B7" s="10" t="inlineStr">
        <is>
          <t>Presupuesto propio aprobado</t>
        </is>
      </c>
      <c r="C7" s="6">
        <f>SUMIFS('Hoja 1'!K2:K126,'Hoja 1'!L2:L126,2026,'Hoja 1'!M2:M126,B7)</f>
        <v/>
      </c>
      <c r="D7" s="10">
        <f>COUNTIFS('Hoja 1'!L2:L126,2026,'Hoja 1'!M2:M126,B7,'Hoja 1'!K2:K126,"&gt;0")</f>
        <v/>
      </c>
      <c r="E7" s="10">
        <f>"Gasto de personal 2025, año completo (cap.1 obligaciones; gastos de personal de cuentas en fundaciones/entes): "&amp;COUNT('Hoja 1'!BP2:BP126)&amp;" entidades, EUR millones; NO sumar con parcial 2026"</f>
        <v/>
      </c>
      <c r="F7" s="12">
        <f>SUM('Hoja 1'!BP2:BP126)</f>
        <v/>
      </c>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c r="AK7" s="10" t="n"/>
      <c r="AL7" s="10" t="n"/>
      <c r="AM7" s="10" t="n"/>
      <c r="AN7" s="10" t="n"/>
      <c r="AO7" s="10" t="n"/>
      <c r="AP7" s="10" t="n"/>
    </row>
    <row r="8" ht="63.75" customHeight="1" s="15"/>
    <row r="9" ht="90" customHeight="1" s="15">
      <c r="A9" s="18" t="inlineStr">
        <is>
          <t>Cobertura de campos en Hoja 1 (número de fichas con dato; 125 en total)</t>
        </is>
      </c>
    </row>
    <row r="10" ht="90" customHeight="1" s="15">
      <c r="B10" s="19" t="inlineStr">
        <is>
          <t>Presupuesto propio (cualquier año/base)</t>
        </is>
      </c>
      <c r="C10" s="19">
        <f>COUNT('Hoja 1'!K2:K126)</f>
        <v/>
      </c>
    </row>
    <row r="11" ht="90" customHeight="1" s="15">
      <c r="B11" s="19" t="inlineStr">
        <is>
          <t>Sin presupuesto propio verificado en norma (órganos sin dotación)</t>
        </is>
      </c>
      <c r="C11" s="19">
        <f>COUNTIF('Hoja 1'!O2:O126,"Sin presupuesto propio: órgano*")</f>
        <v/>
      </c>
    </row>
    <row r="12" ht="97.5" customHeight="1" s="15">
      <c r="B12" s="19" t="inlineStr">
        <is>
          <t>Extinguidas / suprimidas</t>
        </is>
      </c>
      <c r="C12" s="19">
        <f>COUNTIF('Hoja 1'!O2:O126,"Sin presupuesto propio actual: supresión*")</f>
        <v/>
      </c>
    </row>
    <row r="13" ht="90" customHeight="1" s="15">
      <c r="B13" s="19" t="inlineStr">
        <is>
          <t>Sin cifra propia actual verificada (pendientes)</t>
        </is>
      </c>
      <c r="C13" s="19">
        <f>COUNTIF('Hoja 1'!O2:O126,"Sin cifra propia actual verificada")</f>
        <v/>
      </c>
    </row>
    <row r="14" ht="97.5" customHeight="1" s="15">
      <c r="B14" s="19" t="inlineStr">
        <is>
          <t>Crédito de personal (cap. 1 o gastos de personal)</t>
        </is>
      </c>
      <c r="C14" s="19">
        <f>COUNT('Hoja 1'!AL2:AL126)</f>
        <v/>
      </c>
    </row>
    <row r="15" ht="90" customHeight="1" s="15">
      <c r="B15" s="19" t="inlineStr">
        <is>
          <t>Gasto de personal ejecutado, columna AQ (año y corte variables; no sumar)</t>
        </is>
      </c>
      <c r="C15" s="19">
        <f>COUNT('Hoja 1'!AQ2:AQ126)</f>
        <v/>
      </c>
    </row>
    <row r="16" ht="90" customHeight="1" s="15">
      <c r="B16" s="19" t="inlineStr">
        <is>
          <t>Gasto de personal 2025 año completo</t>
        </is>
      </c>
      <c r="C16" s="19">
        <f>COUNT('Hoja 1'!BP2:BP126)</f>
        <v/>
      </c>
    </row>
    <row r="17" ht="90" customHeight="1" s="15">
      <c r="B17" s="19" t="inlineStr">
        <is>
          <t>Personas ocupadas (fecha variable; no sumar)</t>
        </is>
      </c>
      <c r="C17" s="19">
        <f>COUNT('Hoja 1'!AG2:AG126)</f>
        <v/>
      </c>
    </row>
    <row r="18" ht="90" customHeight="1" s="15">
      <c r="B18" s="19" t="inlineStr">
        <is>
          <t>Puestos aprobados / presupuestados</t>
        </is>
      </c>
      <c r="C18" s="19">
        <f>COUNT('Hoja 1'!AX2:AX126)</f>
        <v/>
      </c>
    </row>
    <row r="19" ht="90" customHeight="1" s="15"/>
    <row r="20" ht="45" customHeight="1" s="15">
      <c r="A20" s="20" t="inlineStr">
        <is>
          <t>Celdas con fondo amarillo en Hoja 1: completadas o corregidas el 12/10/2026. Detalle celda a celda en la hoja "Cambios 12-10-2026"; fuentes, páginas y huecos pendientes en "Verificación y pendientes".</t>
        </is>
      </c>
    </row>
    <row r="21" ht="90" customHeight="1" s="15"/>
    <row r="22" ht="90" customHeight="1" s="15">
      <c r="A22" s="18" t="inlineStr">
        <is>
          <t>Clasificación de las 125 fichas según el P100 de Extramuros (juicio con criterios explícitos; motivo, base en el P100 y destino de cada una en Hoja 1)</t>
        </is>
      </c>
    </row>
    <row r="23" ht="90" customHeight="1" s="15">
      <c r="C23" s="20" t="inlineStr">
        <is>
          <t>Fichas</t>
        </is>
      </c>
      <c r="D23" s="20" t="inlineStr">
        <is>
          <t>Con presupuesto propio 2026</t>
        </is>
      </c>
      <c r="E23" s="20" t="inlineStr">
        <is>
          <t>Suma de presupuestos propios 2026, EUR millones (bases distintas: orden de magnitud, no total contable)</t>
        </is>
      </c>
    </row>
    <row r="24" ht="90" customHeight="1" s="15">
      <c r="A24" s="19" t="inlineStr">
        <is>
          <t>Binario</t>
        </is>
      </c>
      <c r="B24" s="19" t="inlineStr">
        <is>
          <t>Útil</t>
        </is>
      </c>
      <c r="C24" s="19">
        <f>COUNTIF('Hoja 1'!BV2:BV126,B24)</f>
        <v/>
      </c>
      <c r="D24" s="19">
        <f>COUNTIFS('Hoja 1'!BV2:BV126,B24,'Hoja 1'!L2:L126,2026,'Hoja 1'!K2:K126,"&gt;0")</f>
        <v/>
      </c>
      <c r="E24" s="21">
        <f>SUMIFS('Hoja 1'!K2:K126,'Hoja 1'!BV2:BV126,B24,'Hoja 1'!L2:L126,2026)</f>
        <v/>
      </c>
    </row>
    <row r="25" ht="90" customHeight="1" s="15">
      <c r="A25" s="19" t="n"/>
      <c r="B25" s="19" t="inlineStr">
        <is>
          <t>No útil</t>
        </is>
      </c>
      <c r="C25" s="19">
        <f>COUNTIF('Hoja 1'!BV2:BV126,B25)</f>
        <v/>
      </c>
      <c r="D25" s="19">
        <f>COUNTIFS('Hoja 1'!BV2:BV126,B25,'Hoja 1'!L2:L126,2026,'Hoja 1'!K2:K126,"&gt;0")</f>
        <v/>
      </c>
      <c r="E25" s="21">
        <f>SUMIFS('Hoja 1'!K2:K126,'Hoja 1'!BV2:BV126,B25,'Hoja 1'!L2:L126,2026)</f>
        <v/>
      </c>
    </row>
    <row r="26" ht="90" customHeight="1" s="15">
      <c r="A26" s="19" t="n"/>
      <c r="B26" s="19" t="inlineStr">
        <is>
          <t>Sin decisión en el P100</t>
        </is>
      </c>
      <c r="C26" s="19">
        <f>COUNTIF('Hoja 1'!BV2:BV126,B26)</f>
        <v/>
      </c>
      <c r="D26" s="19">
        <f>COUNTIFS('Hoja 1'!BV2:BV126,B26,'Hoja 1'!L2:L126,2026,'Hoja 1'!K2:K126,"&gt;0")</f>
        <v/>
      </c>
      <c r="E26" s="21">
        <f>SUMIFS('Hoja 1'!K2:K126,'Hoja 1'!BV2:BV126,B26,'Hoja 1'!L2:L126,2026)</f>
        <v/>
      </c>
    </row>
    <row r="27" ht="90" customHeight="1" s="15">
      <c r="A27" s="19" t="n"/>
      <c r="B27" s="19" t="inlineStr">
        <is>
          <t>Extinguida</t>
        </is>
      </c>
      <c r="C27" s="19">
        <f>COUNTIF('Hoja 1'!BV2:BV126,B27)</f>
        <v/>
      </c>
      <c r="D27" s="19">
        <f>COUNTIFS('Hoja 1'!BV2:BV126,B27,'Hoja 1'!L2:L126,2026,'Hoja 1'!K2:K126,"&gt;0")</f>
        <v/>
      </c>
      <c r="E27" s="21">
        <f>SUMIFS('Hoja 1'!K2:K126,'Hoja 1'!BV2:BV126,B27,'Hoja 1'!L2:L126,2026)</f>
        <v/>
      </c>
    </row>
    <row r="28" ht="90" customHeight="1" s="15">
      <c r="A28" s="19" t="inlineStr">
        <is>
          <t>Veredicto</t>
        </is>
      </c>
      <c r="B28" s="19" t="inlineStr">
        <is>
          <t>Mantener</t>
        </is>
      </c>
      <c r="C28" s="19">
        <f>COUNTIF('Hoja 1'!BW2:BW126,B28)</f>
        <v/>
      </c>
      <c r="D28" s="19">
        <f>COUNTIFS('Hoja 1'!BW2:BW126,B28,'Hoja 1'!L2:L126,2026,'Hoja 1'!K2:K126,"&gt;0")</f>
        <v/>
      </c>
      <c r="E28" s="21">
        <f>SUMIFS('Hoja 1'!K2:K126,'Hoja 1'!BW2:BW126,B28,'Hoja 1'!L2:L126,2026)</f>
        <v/>
      </c>
    </row>
    <row r="29" ht="90" customHeight="1" s="15">
      <c r="A29" s="19" t="n"/>
      <c r="B29" s="19" t="inlineStr">
        <is>
          <t>Reformar</t>
        </is>
      </c>
      <c r="C29" s="19">
        <f>COUNTIF('Hoja 1'!BW2:BW126,B29)</f>
        <v/>
      </c>
      <c r="D29" s="19">
        <f>COUNTIFS('Hoja 1'!BW2:BW126,B29,'Hoja 1'!L2:L126,2026,'Hoja 1'!K2:K126,"&gt;0")</f>
        <v/>
      </c>
      <c r="E29" s="21">
        <f>SUMIFS('Hoja 1'!K2:K126,'Hoja 1'!BW2:BW126,B29,'Hoja 1'!L2:L126,2026)</f>
        <v/>
      </c>
    </row>
    <row r="30" ht="90" customHeight="1" s="15">
      <c r="A30" s="19" t="n"/>
      <c r="B30" s="19" t="inlineStr">
        <is>
          <t>Integrar</t>
        </is>
      </c>
      <c r="C30" s="19">
        <f>COUNTIF('Hoja 1'!BW2:BW126,B30)</f>
        <v/>
      </c>
      <c r="D30" s="19">
        <f>COUNTIFS('Hoja 1'!BW2:BW126,B30,'Hoja 1'!L2:L126,2026,'Hoja 1'!K2:K126,"&gt;0")</f>
        <v/>
      </c>
      <c r="E30" s="21">
        <f>SUMIFS('Hoja 1'!K2:K126,'Hoja 1'!BW2:BW126,B30,'Hoja 1'!L2:L126,2026)</f>
        <v/>
      </c>
    </row>
    <row r="31" ht="90" customHeight="1" s="15">
      <c r="A31" s="19" t="n"/>
      <c r="B31" s="19" t="inlineStr">
        <is>
          <t>Suprimir</t>
        </is>
      </c>
      <c r="C31" s="19">
        <f>COUNTIF('Hoja 1'!BW2:BW126,B31)</f>
        <v/>
      </c>
      <c r="D31" s="19">
        <f>COUNTIFS('Hoja 1'!BW2:BW126,B31,'Hoja 1'!L2:L126,2026,'Hoja 1'!K2:K126,"&gt;0")</f>
        <v/>
      </c>
      <c r="E31" s="21">
        <f>SUMIFS('Hoja 1'!K2:K126,'Hoja 1'!BW2:BW126,B31,'Hoja 1'!L2:L126,2026)</f>
        <v/>
      </c>
    </row>
    <row r="32" ht="210" customHeight="1" s="15">
      <c r="A32" s="19" t="n"/>
      <c r="B32" s="19" t="inlineStr">
        <is>
          <t>Pendiente de decisión</t>
        </is>
      </c>
      <c r="C32" s="19">
        <f>COUNTIF('Hoja 1'!BW2:BW126,B32)</f>
        <v/>
      </c>
      <c r="D32" s="19">
        <f>COUNTIFS('Hoja 1'!BW2:BW126,B32,'Hoja 1'!L2:L126,2026,'Hoja 1'!K2:K126,"&gt;0")</f>
        <v/>
      </c>
      <c r="E32" s="21">
        <f>SUMIFS('Hoja 1'!K2:K126,'Hoja 1'!BW2:BW126,B32,'Hoja 1'!L2:L126,2026)</f>
        <v/>
      </c>
    </row>
    <row r="33" ht="97.5" customHeight="1" s="15">
      <c r="A33" s="19" t="n"/>
      <c r="B33" s="19" t="inlineStr">
        <is>
          <t>Extinguida</t>
        </is>
      </c>
      <c r="C33" s="19">
        <f>COUNTIF('Hoja 1'!BW2:BW126,B33)</f>
        <v/>
      </c>
      <c r="D33" s="19">
        <f>COUNTIFS('Hoja 1'!BW2:BW126,B33,'Hoja 1'!L2:L126,2026,'Hoja 1'!K2:K126,"&gt;0")</f>
        <v/>
      </c>
      <c r="E33" s="21">
        <f>SUMIFS('Hoja 1'!K2:K126,'Hoja 1'!BW2:BW126,B33,'Hoja 1'!L2:L126,2026)</f>
        <v/>
      </c>
    </row>
    <row r="34" ht="97.5" customHeight="1" s="15">
      <c r="A34" s="19" t="inlineStr">
        <is>
          <t>Función</t>
        </is>
      </c>
      <c r="B34" s="19" t="inlineStr">
        <is>
          <t>Servicio público directo</t>
        </is>
      </c>
      <c r="C34" s="19">
        <f>COUNTIF('Hoja 1'!BX2:BX126,B34)</f>
        <v/>
      </c>
      <c r="D34" s="19">
        <f>COUNTIFS('Hoja 1'!BX2:BX126,B34,'Hoja 1'!L2:L126,2026,'Hoja 1'!K2:K126,"&gt;0")</f>
        <v/>
      </c>
      <c r="E34" s="21">
        <f>SUMIFS('Hoja 1'!K2:K126,'Hoja 1'!BX2:BX126,B34,'Hoja 1'!L2:L126,2026)</f>
        <v/>
      </c>
    </row>
    <row r="35" ht="90" customHeight="1" s="15">
      <c r="A35" s="19" t="n"/>
      <c r="B35" s="19" t="inlineStr">
        <is>
          <t>Regulación o inspección de terceros</t>
        </is>
      </c>
      <c r="C35" s="19">
        <f>COUNTIF('Hoja 1'!BX2:BX126,B35)</f>
        <v/>
      </c>
      <c r="D35" s="19">
        <f>COUNTIFS('Hoja 1'!BX2:BX126,B35,'Hoja 1'!L2:L126,2026,'Hoja 1'!K2:K126,"&gt;0")</f>
        <v/>
      </c>
      <c r="E35" s="21">
        <f>SUMIFS('Hoja 1'!K2:K126,'Hoja 1'!BX2:BX126,B35,'Hoja 1'!L2:L126,2026)</f>
        <v/>
      </c>
    </row>
    <row r="36" ht="90" customHeight="1" s="15">
      <c r="A36" s="19" t="n"/>
      <c r="B36" s="19" t="inlineStr">
        <is>
          <t>Financiación y ayudas</t>
        </is>
      </c>
      <c r="C36" s="19">
        <f>COUNTIF('Hoja 1'!BX2:BX126,B36)</f>
        <v/>
      </c>
      <c r="D36" s="19">
        <f>COUNTIFS('Hoja 1'!BX2:BX126,B36,'Hoja 1'!L2:L126,2026,'Hoja 1'!K2:K126,"&gt;0")</f>
        <v/>
      </c>
      <c r="E36" s="21">
        <f>SUMIFS('Hoja 1'!K2:K126,'Hoja 1'!BX2:BX126,B36,'Hoja 1'!L2:L126,2026)</f>
        <v/>
      </c>
    </row>
    <row r="37" ht="90" customHeight="1" s="15">
      <c r="A37" s="19" t="n"/>
      <c r="B37" s="19" t="inlineStr">
        <is>
          <t>Control interno y cumplimiento</t>
        </is>
      </c>
      <c r="C37" s="19">
        <f>COUNTIF('Hoja 1'!BX2:BX126,B37)</f>
        <v/>
      </c>
      <c r="D37" s="19">
        <f>COUNTIFS('Hoja 1'!BX2:BX126,B37,'Hoja 1'!L2:L126,2026,'Hoja 1'!K2:K126,"&gt;0")</f>
        <v/>
      </c>
      <c r="E37" s="21">
        <f>SUMIFS('Hoja 1'!K2:K126,'Hoja 1'!BX2:BX126,B37,'Hoja 1'!L2:L126,2026)</f>
        <v/>
      </c>
    </row>
    <row r="38" ht="90" customHeight="1" s="15">
      <c r="A38" s="19" t="n"/>
      <c r="B38" s="19" t="inlineStr">
        <is>
          <t>Consultivo o participación</t>
        </is>
      </c>
      <c r="C38" s="19">
        <f>COUNTIF('Hoja 1'!BX2:BX126,B38)</f>
        <v/>
      </c>
      <c r="D38" s="19">
        <f>COUNTIFS('Hoja 1'!BX2:BX126,B38,'Hoja 1'!L2:L126,2026,'Hoja 1'!K2:K126,"&gt;0")</f>
        <v/>
      </c>
      <c r="E38" s="21">
        <f>SUMIFS('Hoja 1'!K2:K126,'Hoja 1'!BX2:BX126,B38,'Hoja 1'!L2:L126,2026)</f>
        <v/>
      </c>
    </row>
    <row r="39" ht="90" customHeight="1" s="15">
      <c r="A39" s="19" t="n"/>
      <c r="B39" s="19" t="inlineStr">
        <is>
          <t>Extinguida o no constituida</t>
        </is>
      </c>
      <c r="C39" s="19">
        <f>COUNTIF('Hoja 1'!BX2:BX126,B39)</f>
        <v/>
      </c>
      <c r="D39" s="19">
        <f>COUNTIFS('Hoja 1'!BX2:BX126,B39,'Hoja 1'!L2:L126,2026,'Hoja 1'!K2:K126,"&gt;0")</f>
        <v/>
      </c>
      <c r="E39" s="21">
        <f>SUMIFS('Hoja 1'!K2:K126,'Hoja 1'!BX2:BX126,B39,'Hoja 1'!L2:L126,2026)</f>
        <v/>
      </c>
    </row>
    <row r="40" ht="90" customHeight="1" s="15">
      <c r="A40" s="19" t="inlineStr">
        <is>
          <t>Base en el P100</t>
        </is>
      </c>
    </row>
    <row r="41" ht="97.5" customHeight="1" s="15">
      <c r="B41" s="19" t="inlineStr">
        <is>
          <t>Explícito: el P100 nombra el organismo o su categoría</t>
        </is>
      </c>
      <c r="C41" s="19">
        <f>COUNTIF('Hoja 1'!CC2:CC126,"Explícito*")</f>
        <v/>
      </c>
    </row>
    <row r="42" ht="90" customHeight="1" s="15">
      <c r="B42" s="19" t="inlineStr">
        <is>
          <t>Aplicando el criterio del P100 (deducción nuestra)</t>
        </is>
      </c>
      <c r="C42" s="19">
        <f>COUNTIF('Hoja 1'!CC2:CC126,"Aplicando*")</f>
        <v/>
      </c>
    </row>
    <row r="43" ht="90" customHeight="1" s="15">
      <c r="B43" s="19" t="inlineStr">
        <is>
          <t>El P100 no trata la materia</t>
        </is>
      </c>
      <c r="C43" s="19">
        <f>COUNTIF('Hoja 1'!CC2:CC126,"El P100*")</f>
        <v/>
      </c>
    </row>
    <row r="44" ht="90" customHeight="1" s="15"/>
    <row r="45" ht="230" customHeight="1" s="15">
      <c r="A45" s="20" t="inlineStr">
        <is>
          <t>Criterio (alineado con el P100). Útil no es tener un contenido, es a qué sirve ese contenido. Un organismo es útil si cumple las tres condiciones: 1) su función es necesaria y cambia decisiones o mejora un servicio (un informe, un dictamen o un trámite de cumplimiento no cuenta; Costes del Estado 2); 2) nadie más la presta: con un organismo nacional basta, no hacen falta 17 autonómicos iguales (Costes 9, Organización del Estado 5, Impuestos 11 "una sola Agencia Tributaria", Estado 17 "una sola web"); 3) sirve a un fin del P100, no a un fin que el P100 elimina (p. ej. la cooperación al desarrollo autonómica: el P100 limita la cooperación a la humanitaria y a países que colaboren en el control migratorio, Costes 5). Veredictos: Mantener (cumple las tres), Reformar (se queda, con los cambios que pide el P100), Integrar (la función sigue, el organismo sobra: pasa al organismo nacional o a la consejería indicada en "destino"), Suprimir (ni la función ni el organismo), Pendiente de decisión (el P100 no trata la materia), Extinguida (ya no existe). Binario: Útil = Mantener o Reformar; No útil = Integrar o Suprimir (juzga el organismo, no la materia). "Explícito" = el P100 lo dice; "Aplicando el criterio" = deducción nuestra a partir del P100, a validar. "Exigida por la UE": se puede fusionar o redimensionar, no suprimir. Es un juicio, no un dato.</t>
        </is>
      </c>
    </row>
    <row r="46" ht="90" customHeight="1" s="15"/>
    <row r="47" ht="90" customHeight="1" s="15">
      <c r="A47" s="18" t="inlineStr">
        <is>
          <t>Coste de personal de los órganos consultivos sin presupuesto propio (ESCENARIO, no dato publicado)</t>
        </is>
      </c>
    </row>
    <row r="48" ht="90" customHeight="1" s="15">
      <c r="B48" s="19" t="inlineStr">
        <is>
          <t>Órganos consultivos o de participación</t>
        </is>
      </c>
      <c r="C48" s="19">
        <f>COUNTIF('Hoja 1'!BX2:BX126,"Consultivo o participación")</f>
        <v/>
      </c>
    </row>
    <row r="49" ht="126" customHeight="1" s="15">
      <c r="B49" s="19" t="inlineStr">
        <is>
          <t>Coste de personal por persona: mediana de la hoja (gasto 2025 / personas), EUR</t>
        </is>
      </c>
      <c r="C49" s="22">
        <f>MEDIAN('Hoja 1'!CH2:CH126)</f>
        <v/>
      </c>
    </row>
    <row r="50" ht="90" customHeight="1" s="15">
      <c r="B50" s="19" t="inlineStr">
        <is>
          <t>Fichas con las que se calcula la mediana</t>
        </is>
      </c>
      <c r="C50" s="19">
        <f>COUNT('Hoja 1'!CH2:CH126)</f>
        <v/>
      </c>
    </row>
    <row r="51" ht="139.5" customHeight="1" s="15">
      <c r="B51" s="19" t="inlineStr">
        <is>
          <t>Si cada órgano ocupa 1 persona a tiempo completo: EUR millones al año</t>
        </is>
      </c>
      <c r="C51" s="21">
        <f>C48*C49*1/1000000</f>
        <v/>
      </c>
    </row>
    <row r="52" ht="90" customHeight="1" s="15">
      <c r="B52" s="19" t="inlineStr">
        <is>
          <t>Si cada órgano ocupa 2 personas a tiempo completo: EUR millones al año</t>
        </is>
      </c>
      <c r="C52" s="21">
        <f>C48*C49*2/1000000</f>
        <v/>
      </c>
    </row>
    <row r="53" ht="90" customHeight="1" s="15">
      <c r="B53" s="19" t="inlineStr">
        <is>
          <t>Si cada órgano ocupa 3 personas a tiempo completo: EUR millones al año</t>
        </is>
      </c>
      <c r="C53" s="21">
        <f>C48*C49*3/1000000</f>
        <v/>
      </c>
    </row>
    <row r="54" ht="75" customHeight="1" s="15">
      <c r="A54" s="20" t="inlineStr">
        <is>
          <t>Las normas de estos órganos dicen que su coste lo absorbe el ministerio o la consejería (secretaría, unidad técnica, apoyo a reuniones), pero no lo publican por separado. Las personas a tiempo completo por órgano son un supuesto; el coste por persona sale de la hoja. Casos documentados en la columna "Coste de apoyo" de Hoja 1 (p. ej. 7 personas en el órgano de trabajo del Observatorio de la Vida Militar, 2015). Suprimir el órgano libera ese coste solo si se amortizan o reasignan los puestos que lo atienden.</t>
        </is>
      </c>
    </row>
    <row r="55" ht="90" customHeight="1" s="15"/>
    <row r="56" ht="90" customHeight="1" s="15"/>
    <row r="57" ht="90" customHeight="1" s="15"/>
    <row r="58" ht="90" customHeight="1" s="15"/>
    <row r="59" ht="90" customHeight="1" s="15"/>
    <row r="60" ht="90" customHeight="1" s="15"/>
    <row r="61" ht="90" customHeight="1" s="15"/>
    <row r="62" ht="90" customHeight="1" s="15"/>
    <row r="63" ht="90" customHeight="1" s="15"/>
    <row r="64" ht="139.5" customHeight="1" s="15"/>
    <row r="65" ht="90" customHeight="1" s="15"/>
    <row r="66" ht="90" customHeight="1" s="15"/>
    <row r="67" ht="90" customHeight="1" s="15"/>
    <row r="68" ht="90" customHeight="1" s="15"/>
    <row r="69" ht="90" customHeight="1" s="15"/>
    <row r="70" ht="90" customHeight="1" s="15"/>
    <row r="71" ht="90" customHeight="1" s="15"/>
    <row r="72" ht="90" customHeight="1" s="15"/>
    <row r="73" ht="90" customHeight="1" s="15"/>
    <row r="74" ht="90" customHeight="1" s="15"/>
    <row r="75" ht="90" customHeight="1" s="15"/>
    <row r="76" ht="90" customHeight="1" s="15"/>
    <row r="77" ht="90" customHeight="1" s="15"/>
    <row r="78" ht="126" customHeight="1" s="15"/>
    <row r="79" ht="97.5" customHeight="1" s="15"/>
    <row r="80" ht="126" customHeight="1" s="15"/>
    <row r="81" ht="90" customHeight="1" s="15"/>
    <row r="82" ht="139.5" customHeight="1" s="15"/>
    <row r="83" ht="90" customHeight="1" s="15"/>
    <row r="84" ht="90" customHeight="1" s="15"/>
    <row r="85" ht="90" customHeight="1" s="15"/>
    <row r="86" ht="90" customHeight="1" s="15"/>
    <row r="87" ht="90" customHeight="1" s="15"/>
    <row r="88" ht="90" customHeight="1" s="15"/>
    <row r="89" ht="90" customHeight="1" s="15"/>
    <row r="90" ht="90" customHeight="1" s="15"/>
    <row r="91" ht="90" customHeight="1" s="15"/>
    <row r="92" ht="90" customHeight="1" s="15"/>
    <row r="93" ht="90" customHeight="1" s="15"/>
    <row r="94" ht="90" customHeight="1" s="15"/>
    <row r="95" ht="90" customHeight="1" s="15"/>
    <row r="96" ht="90" customHeight="1" s="15"/>
    <row r="97" ht="97.5" customHeight="1" s="15"/>
    <row r="98" ht="90" customHeight="1" s="15"/>
    <row r="99" ht="90" customHeight="1" s="15"/>
    <row r="100" ht="90" customHeight="1" s="15"/>
    <row r="101" ht="139.5" customHeight="1" s="15"/>
    <row r="102" ht="90" customHeight="1" s="15"/>
    <row r="103" ht="139.5" customHeight="1" s="15"/>
    <row r="104" ht="199.5" customHeight="1" s="15"/>
    <row r="105" ht="199.5" customHeight="1" s="15"/>
    <row r="106" ht="199.5" customHeight="1" s="15"/>
    <row r="107" ht="199.5" customHeight="1" s="15"/>
    <row r="108" ht="199.5" customHeight="1" s="15"/>
    <row r="109" ht="199.5" customHeight="1" s="15"/>
    <row r="110" ht="199.5" customHeight="1" s="15"/>
    <row r="111" ht="199.5" customHeight="1" s="15"/>
    <row r="112" ht="199.5" customHeight="1" s="15"/>
    <row r="113" ht="199.5" customHeight="1" s="15"/>
    <row r="114" ht="199.5" customHeight="1" s="15"/>
    <row r="115" ht="199.5" customHeight="1" s="15"/>
    <row r="116" ht="199.5" customHeight="1" s="15"/>
    <row r="117" ht="199.5" customHeight="1" s="15"/>
    <row r="118" ht="199.5" customHeight="1" s="15"/>
    <row r="119" ht="199.5" customHeight="1" s="15"/>
    <row r="120" ht="199.5" customHeight="1" s="15"/>
    <row r="121" ht="199.5" customHeight="1" s="15"/>
    <row r="122" ht="199.5" customHeight="1" s="15"/>
    <row r="123" ht="199.5" customHeight="1" s="15"/>
    <row r="124" ht="199.5" customHeight="1" s="15"/>
    <row r="125" ht="199.5" customHeight="1" s="15"/>
    <row r="126" ht="199.5" customHeight="1" s="15"/>
    <row r="127" ht="199.5" customHeight="1" s="15"/>
    <row r="128" ht="199.5" customHeight="1" s="15"/>
    <row r="129" ht="199.5" customHeight="1" s="15"/>
    <row r="130" ht="199.5" customHeight="1" s="15"/>
    <row r="131" ht="199.5" customHeight="1" s="15"/>
    <row r="132" ht="199.5" customHeight="1" s="15"/>
    <row r="133" ht="199.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mergeCells count="7">
    <mergeCell ref="A2:F2"/>
    <mergeCell ref="A54:F54"/>
    <mergeCell ref="A1:F1"/>
    <mergeCell ref="A45:F45"/>
    <mergeCell ref="A4:F4"/>
    <mergeCell ref="A3:F3"/>
    <mergeCell ref="A20:F20"/>
  </mergeCells>
  <pageMargins left="0.75" right="0.75" top="1" bottom="1" header="0" footer="0"/>
  <pageSetup orientation="landscape" paperSize="8"/>
  <headerFooter>
    <oddHeader/>
    <oddFooter>&amp;CInventario parcial | 11/10/2026 | Página &amp;P de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Y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style="15" min="1" max="1"/>
    <col width="30" customWidth="1" style="15" min="2" max="2"/>
    <col width="18" customWidth="1" style="15" min="3" max="3"/>
    <col width="18" customWidth="1" style="15" min="4" max="4"/>
    <col width="18" customWidth="1" style="15" min="5" max="5"/>
    <col width="18" customWidth="1" style="15" min="6" max="6"/>
    <col width="18" customWidth="1" style="15" min="7" max="7"/>
    <col width="18" customWidth="1" style="15" min="8" max="8"/>
    <col width="18" customWidth="1" style="15" min="9" max="9"/>
    <col width="18" customWidth="1" style="15" min="10" max="10"/>
    <col width="18" customWidth="1" style="15" min="11" max="11"/>
    <col width="18" customWidth="1" style="15" min="12" max="12"/>
    <col width="18" customWidth="1" style="15" min="13" max="13"/>
    <col width="18" customWidth="1" style="15" min="14" max="14"/>
    <col width="18" customWidth="1" style="15" min="15" max="15"/>
    <col width="18" customWidth="1" style="15" min="16" max="16"/>
    <col width="18" customWidth="1" style="15" min="17" max="17"/>
    <col width="18" customWidth="1" style="15" min="18" max="18"/>
    <col width="18" customWidth="1" style="15" min="19" max="19"/>
    <col width="24" customWidth="1" style="15" min="20" max="20"/>
    <col width="24" customWidth="1" style="15" min="21" max="21"/>
    <col width="24" customWidth="1" style="15" min="22" max="22"/>
    <col width="24" customWidth="1" style="15" min="23" max="23"/>
    <col width="24" customWidth="1" style="15" min="24" max="24"/>
    <col width="24" customWidth="1" style="15" min="25" max="25"/>
  </cols>
  <sheetData>
    <row r="1">
      <c r="A1" s="23" t="inlineStr">
        <is>
          <t>Tema</t>
        </is>
      </c>
      <c r="B1" s="23" t="inlineStr">
        <is>
          <t>Organismo estatal</t>
        </is>
      </c>
      <c r="C1" s="23" t="inlineStr">
        <is>
          <t>Andalucía</t>
        </is>
      </c>
      <c r="D1" s="23" t="inlineStr">
        <is>
          <t>Aragón</t>
        </is>
      </c>
      <c r="E1" s="23" t="inlineStr">
        <is>
          <t>Asturias</t>
        </is>
      </c>
      <c r="F1" s="23" t="inlineStr">
        <is>
          <t>Illes Balears</t>
        </is>
      </c>
      <c r="G1" s="23" t="inlineStr">
        <is>
          <t>Canarias</t>
        </is>
      </c>
      <c r="H1" s="23" t="inlineStr">
        <is>
          <t>Cantabria</t>
        </is>
      </c>
      <c r="I1" s="23" t="inlineStr">
        <is>
          <t>Castilla-La Mancha</t>
        </is>
      </c>
      <c r="J1" s="23" t="inlineStr">
        <is>
          <t>Castilla y León</t>
        </is>
      </c>
      <c r="K1" s="23" t="inlineStr">
        <is>
          <t>Cataluña</t>
        </is>
      </c>
      <c r="L1" s="23" t="inlineStr">
        <is>
          <t>Comunitat Valenciana</t>
        </is>
      </c>
      <c r="M1" s="23" t="inlineStr">
        <is>
          <t>Extremadura</t>
        </is>
      </c>
      <c r="N1" s="23" t="inlineStr">
        <is>
          <t>Galicia</t>
        </is>
      </c>
      <c r="O1" s="23" t="inlineStr">
        <is>
          <t>Madrid</t>
        </is>
      </c>
      <c r="P1" s="23" t="inlineStr">
        <is>
          <t>Murcia</t>
        </is>
      </c>
      <c r="Q1" s="23" t="inlineStr">
        <is>
          <t>Navarra</t>
        </is>
      </c>
      <c r="R1" s="23" t="inlineStr">
        <is>
          <t>País Vasco</t>
        </is>
      </c>
      <c r="S1" s="23" t="inlineStr">
        <is>
          <t>La Rioja</t>
        </is>
      </c>
      <c r="T1" s="23" t="inlineStr">
        <is>
          <t>CCAA con organismo propio</t>
        </is>
      </c>
      <c r="U1" s="23" t="inlineStr">
        <is>
          <t>CCAA sin verificar</t>
        </is>
      </c>
      <c r="V1" s="23" t="inlineStr">
        <is>
          <t>Organismos en total (Estado + CCAA, verificados)</t>
        </is>
      </c>
      <c r="W1" s="23" t="inlineStr">
        <is>
          <t>¿Cubre el Estado esos territorios?</t>
        </is>
      </c>
      <c r="X1" s="23" t="inlineStr">
        <is>
          <t>Base competencial</t>
        </is>
      </c>
      <c r="Y1" s="23" t="inlineStr">
        <is>
          <t>Fuentes</t>
        </is>
      </c>
    </row>
    <row r="2">
      <c r="A2" s="20" t="inlineStr">
        <is>
          <t>Agencias tributarias</t>
        </is>
      </c>
      <c r="B2" s="20" t="inlineStr">
        <is>
          <t>Agencia Estatal de Administración Tributaria (AEAT)</t>
        </is>
      </c>
      <c r="C2" s="24" t="inlineStr">
        <is>
          <t>Propio (ente): Agencia Tributaria de Andalucía (ATRIAN)</t>
        </is>
      </c>
      <c r="D2" s="25" t="inlineStr">
        <is>
          <t>Consejería</t>
        </is>
      </c>
      <c r="E2" s="24" t="inlineStr">
        <is>
          <t>Propio (ente): Ente Público de Servicios Tributarios del Principado de Asturias ('Tributas en Asturias')</t>
        </is>
      </c>
      <c r="F2" s="24" t="inlineStr">
        <is>
          <t>Propio (ente): Agencia Tributaria de las Illes Balears (ATIB)</t>
        </is>
      </c>
      <c r="G2" s="24" t="inlineStr">
        <is>
          <t>Propio (ente): Agencia Tributaria Canaria (ATC)</t>
        </is>
      </c>
      <c r="H2" s="24" t="inlineStr">
        <is>
          <t>Propio (ente): Agencia Cántabra de Administración Tributaria (ACAT)</t>
        </is>
      </c>
      <c r="I2" s="25" t="inlineStr">
        <is>
          <t>Consejería</t>
        </is>
      </c>
      <c r="J2" s="25" t="inlineStr">
        <is>
          <t>Consejería</t>
        </is>
      </c>
      <c r="K2" s="24" t="inlineStr">
        <is>
          <t>Propio (ente): Agència Tributària de Catalunya (ATC)</t>
        </is>
      </c>
      <c r="L2" s="24" t="inlineStr">
        <is>
          <t>Propio (ente): Agència Tributària Valenciana (ATV)</t>
        </is>
      </c>
      <c r="M2" s="25" t="inlineStr">
        <is>
          <t>Consejería</t>
        </is>
      </c>
      <c r="N2" s="24" t="inlineStr">
        <is>
          <t>Propio (ente): Axencia Tributaria de Galicia (ATRIGA)</t>
        </is>
      </c>
      <c r="O2" s="25" t="inlineStr">
        <is>
          <t>Consejería</t>
        </is>
      </c>
      <c r="P2" s="24" t="inlineStr">
        <is>
          <t>Propio (ente): Agencia Tributaria de la Región de Murcia (ATRM)</t>
        </is>
      </c>
      <c r="Q2" s="24" t="inlineStr">
        <is>
          <t>Propio (ente): Hacienda Foral de Navarra (organismo autónomo)</t>
        </is>
      </c>
      <c r="R2" s="24" t="inlineStr">
        <is>
          <t>Propio (órgano): Haciendas Forales de Álava, Bizkaia y Gipuzkoa (departamentos de Hacienda de las tres diputaciones forales) + Órgano de Coordinación Tributaria de Euskadi</t>
        </is>
      </c>
      <c r="S2" s="25" t="inlineStr">
        <is>
          <t>Consejería</t>
        </is>
      </c>
      <c r="T2" s="20">
        <f>COUNTIF(C2:S2,"Propio*")</f>
        <v/>
      </c>
      <c r="U2" s="20">
        <f>COUNTIF(C2:S2,"Sin verificar")</f>
        <v/>
      </c>
      <c r="V2" s="20">
        <f>1+T2</f>
        <v/>
      </c>
      <c r="W2" s="20" t="inlineStr">
        <is>
          <t>Parcial. La AEAT cubre en todo el territorio común los tributos estatales no cedidos, pero los tributos cedidos los gestiona cada CA por ley, con agencia o con su DG. La función autonómica existe en las 15 CCAA de régimen común: la 'duplicidad' de las 10 agencias es de forma organizativa, no de función, porque las 6 CCAA sin agencia hacen lo mismo desde una DG. En territorio foral la AEAT no gestiona los tributos concertados o convenidos.</t>
        </is>
      </c>
      <c r="X2" s="20" t="inlineStr">
        <is>
          <t>Tributos cedidos: por la LOFCA y la ley de financiación autonómica, las CCAA de régimen común aplican por delegación los tributos cedidos (ISD, ITPAJD, tributos sobre el juego, etc.) y organizan libremente su administración tributaria (agencia o DG). La AEAT aplica los tributos estatales (IRPF, IVA, IS, IIEE) en todo el territorio común. Navarra (Convenio Económico) y el País Vasco (Concierto Económico, Ley 12/2002) tienen haciendas forales propias por la DA 1ª de la Constitución.</t>
        </is>
      </c>
      <c r="Y2" s="20" t="inlineStr">
        <is>
          <t>https://www.boe.es/eli/es-an/l/2007/12/18/23/con
https://laadministracionaldia.inap.es/noticia.asp?id=1232456
https://www.boe.es/eli/es-ib/l/2008/04/14/3
https://boe.es/buscar/act.php?id=BOE-A-2014-9902
https://www.parcan.es/files/documentacion/dosieres/DOSS0221/DOSS0221DOC4682.PDF
https://transparencia.castillalamancha.es/titular/33680
https://www.boe.es/diario_boe/txt.php?id=BOE-A-2007-15212
https://laadministracionaldia.inap.es/noticia.asp?id=1256956
https://doe.juntaex.es/pdfs/doe/2026/790o/26060892.pdf
https://www.es.parlamentodegalicia.gal/sitios/web/BibliotecaLeisdeGalicia/Lei_15_2010.pdf
https://www.comunidad.madrid/transparencia/unidad-organizativa-responsable/direccion-general-tributos
https://www.parcan.es/files/documentacion/dosieres/DOSS0221/DOSS0221DOC4791.PDF
https://laadministracionaldia.inap.es/noticia.asp?id=1239023
https://www.euskadi.eus/gobierno-vasco/contenidos/informacion/fisc_sytribvas/es_3222/indice_c.html
https://larioja.org/tributos/en/enlaces-interes/competencias-direccion-general-tributos
https://www.gobierno.jcyl.es/web/es/consejerias/direccion-general-tributos-financiacion.html
https://gd.aragon.es/cgi-bin/ORGA/BRSCGI?CMD=VERDOC&amp;BASE=ORGA&amp;PIECE=ORGA&amp;SEC=ORGABUSXI&amp;DOCN=653</t>
        </is>
      </c>
    </row>
    <row r="3">
      <c r="A3" s="20" t="inlineStr">
        <is>
          <t>Consejos de transparencia</t>
        </is>
      </c>
      <c r="B3" s="20" t="inlineStr">
        <is>
          <t>Consejo de Transparencia y Buen Gobierno (CTBG)</t>
        </is>
      </c>
      <c r="C3" s="24" t="inlineStr">
        <is>
          <t>Propio (ente): Consejo de Transparencia y Protección de Datos de Andalucía (CTPDA)</t>
        </is>
      </c>
      <c r="D3" s="24" t="inlineStr">
        <is>
          <t>Propio (órgano): Consejo de Transparencia de Aragón</t>
        </is>
      </c>
      <c r="E3" s="25" t="inlineStr">
        <is>
          <t>Lo cubre el Estado</t>
        </is>
      </c>
      <c r="F3" s="25" t="inlineStr">
        <is>
          <t>Lo cubre el Estado</t>
        </is>
      </c>
      <c r="G3" s="24" t="inlineStr">
        <is>
          <t>Propio (órgano): Comisionado de Transparencia y Acceso a la Información Pública de Canarias</t>
        </is>
      </c>
      <c r="H3" s="25" t="inlineStr">
        <is>
          <t>Lo cubre el Estado</t>
        </is>
      </c>
      <c r="I3" s="24" t="inlineStr">
        <is>
          <t>Propio (órgano): Consejo Regional de Transparencia y Buen Gobierno de Castilla-La Mancha</t>
        </is>
      </c>
      <c r="J3" s="24" t="inlineStr">
        <is>
          <t>Propio (órgano): Comisionado de Transparencia de Castilla y León (función atribuida al Procurador del Común)</t>
        </is>
      </c>
      <c r="K3" s="24" t="inlineStr">
        <is>
          <t>Propio (órgano): Comissió de Garantia del Dret d'Accés a la Informació Pública (GAIP)</t>
        </is>
      </c>
      <c r="L3" s="24" t="inlineStr">
        <is>
          <t>Propio (órgano): Consell de Transparència de la Comunitat Valenciana</t>
        </is>
      </c>
      <c r="M3" s="25" t="inlineStr">
        <is>
          <t>Lo cubre el Estado</t>
        </is>
      </c>
      <c r="N3" s="24" t="inlineStr">
        <is>
          <t>Propio (órgano): Comisión da Transparencia de Galicia</t>
        </is>
      </c>
      <c r="O3" s="24" t="inlineStr">
        <is>
          <t>Propio (órgano): Consejo de Transparencia y Protección de Datos de la Comunidad de Madrid</t>
        </is>
      </c>
      <c r="P3" s="24" t="inlineStr">
        <is>
          <t>Propio (órgano): Comisionado de Transparencia de la Región de Murcia</t>
        </is>
      </c>
      <c r="Q3" s="24" t="inlineStr">
        <is>
          <t>Propio (órgano): Consejo de Transparencia de Navarra</t>
        </is>
      </c>
      <c r="R3" s="24" t="inlineStr">
        <is>
          <t>Propio (órgano): Comisión Vasca de Acceso a la Información Pública</t>
        </is>
      </c>
      <c r="S3" s="25" t="inlineStr">
        <is>
          <t>Lo cubre el Estado</t>
        </is>
      </c>
      <c r="T3" s="20">
        <f>COUNTIF(C3:S3,"Propio*")</f>
        <v/>
      </c>
      <c r="U3" s="20">
        <f>COUNTIF(C3:S3,"Sin verificar")</f>
        <v/>
      </c>
      <c r="V3" s="20">
        <f>1+T3</f>
        <v/>
      </c>
      <c r="W3" s="20" t="inlineStr">
        <is>
          <t>Sí, por convenio. En 2025-2026 el CTBG resuelve las reclamaciones de Asturias (nuevo convenio de 11/05/2026), Illes Balears (convenio 2025-2029), Cantabria, Extremadura y La Rioja, además de Ceuta y Melilla. La CA paga por reclamación resuelta (192,35 EUR en el convenio asturiano). CLM (hasta 31/10/2023) y Madrid (hasta 02/11/2021) dejaron el convenio al crear su órgano.</t>
        </is>
      </c>
      <c r="X3" s="20" t="inlineStr">
        <is>
          <t>Transparencia: cada administración puede atribuir la resolución de las reclamaciones de acceso a un órgano propio o convenirla con el CTBG (Ley 19/2013, art. 24 y DA 4ª).</t>
        </is>
      </c>
      <c r="Y3" s="20" t="inlineStr">
        <is>
          <t>https://consejodetransparencia.es/content/dam/ctransparencia/portal-ctbg/nosotros/cooperacion/acta_constitucion_COTAI.pdf
https://consejodetransparencia.es/content/dam/ctransparencia/portal-ctbg/nosotros/memorias-y-plan-estrategico/memoria-2025/Memoria_2025_CTBG.pdf
https://consejodetransparencia.es/content/dam/ctransparencia/portal-ctbg/nosotros/memorias-y-plan-estrategico/memoria-2025/Resumen_Ejecutivo_Memoria_2025_CTBG.pdf
https://www.asturias.es/bopa/2026/06/26/2026-05300.pdf
https://www.bocm.es/boletin/CM_Orden_BOCM/2024/05/23/BOCM-20240523-1.PDF
https://www.comunidad.madrid/transparencia/sites/default/files/8._main_reglamento_ctpd.pdf
https://boe.es/ccaa/borm/2024/158/s20598-20604.pdf
https://www.boe.es/buscar/act.php?id=BOE-A-2014-7534</t>
        </is>
      </c>
    </row>
    <row r="4">
      <c r="A4" s="20" t="inlineStr">
        <is>
          <t>Autoridades de protección de datos</t>
        </is>
      </c>
      <c r="B4" s="20" t="inlineStr">
        <is>
          <t>Agencia Española de Protección de Datos (AEPD)</t>
        </is>
      </c>
      <c r="C4" s="24" t="inlineStr">
        <is>
          <t>Propio (ente): Consejo de Transparencia y Protección de Datos de Andalucía (CTPDA)</t>
        </is>
      </c>
      <c r="D4" s="25" t="inlineStr">
        <is>
          <t>Lo cubre el Estado</t>
        </is>
      </c>
      <c r="E4" s="25" t="inlineStr">
        <is>
          <t>Lo cubre el Estado</t>
        </is>
      </c>
      <c r="F4" s="25" t="inlineStr">
        <is>
          <t>Lo cubre el Estado</t>
        </is>
      </c>
      <c r="G4" s="25" t="inlineStr">
        <is>
          <t>Lo cubre el Estado</t>
        </is>
      </c>
      <c r="H4" s="25" t="inlineStr">
        <is>
          <t>Lo cubre el Estado</t>
        </is>
      </c>
      <c r="I4" s="25" t="inlineStr">
        <is>
          <t>Lo cubre el Estado</t>
        </is>
      </c>
      <c r="J4" s="25" t="inlineStr">
        <is>
          <t>Lo cubre el Estado</t>
        </is>
      </c>
      <c r="K4" s="24" t="inlineStr">
        <is>
          <t>Propio (ente): Autoritat Catalana de Protecció de Dades (APDCAT)</t>
        </is>
      </c>
      <c r="L4" s="25" t="inlineStr">
        <is>
          <t>Lo cubre el Estado</t>
        </is>
      </c>
      <c r="M4" s="25" t="inlineStr">
        <is>
          <t>Lo cubre el Estado</t>
        </is>
      </c>
      <c r="N4" s="25" t="inlineStr">
        <is>
          <t>Lo cubre el Estado</t>
        </is>
      </c>
      <c r="O4" s="25" t="inlineStr">
        <is>
          <t>Lo cubre el Estado</t>
        </is>
      </c>
      <c r="P4" s="25" t="inlineStr">
        <is>
          <t>Lo cubre el Estado</t>
        </is>
      </c>
      <c r="Q4" s="25" t="inlineStr">
        <is>
          <t>Lo cubre el Estado</t>
        </is>
      </c>
      <c r="R4" s="24" t="inlineStr">
        <is>
          <t>Propio (ente): Autoridad Vasca de Protección de Datos (AVPD)</t>
        </is>
      </c>
      <c r="S4" s="25" t="inlineStr">
        <is>
          <t>Lo cubre el Estado</t>
        </is>
      </c>
      <c r="T4" s="20">
        <f>COUNTIF(C4:S4,"Propio*")</f>
        <v/>
      </c>
      <c r="U4" s="20">
        <f>COUNTIF(C4:S4,"Sin verificar")</f>
        <v/>
      </c>
      <c r="V4" s="20">
        <f>1+T4</f>
        <v/>
      </c>
      <c r="W4" s="20" t="inlineStr">
        <is>
          <t>Sí, por defecto y por ley: la AEPD supervisa el sector público autonómico y local de las 14 CCAA sin autoridad propia, y a todo el sector privado en toda España. Madrid suprimió su agencia el 01/01/2013 y la AEPD asumió sus funciones.</t>
        </is>
      </c>
      <c r="X4" s="20" t="inlineStr">
        <is>
          <t>Protección de datos: el RGPD y la LOPDGDD (arts. 57-58) permiten a las CCAA crear autoridades de control para los tratamientos de su sector público y de las entidades locales de su territorio. En lo demás, y donde no las hay, es competente la AEPD.</t>
        </is>
      </c>
      <c r="Y4" s="20" t="inlineStr">
        <is>
          <t>https://www.aepd.es/la-agencia/transparencia/informacion-de-caracter-institucional-organizativa-y-de-planificacion/historia
https://boe.es/boe/dias/2024/01/18/pdfs/BOE-A-2024-900.pdf
https://www.euskadi.eus/web01-bopv/es/bopv2/datos/2024/12/2405865a.shtml
https://www.comunidad.madrid/transparencia/sites/default/files/8._main_reglamento_ctpd.pdf</t>
        </is>
      </c>
    </row>
    <row r="5">
      <c r="A5" s="20" t="inlineStr">
        <is>
          <t>Autoridades de defensa de la competencia</t>
        </is>
      </c>
      <c r="B5" s="20" t="inlineStr">
        <is>
          <t>Comisión Nacional de los Mercados y la Competencia (CNMC)</t>
        </is>
      </c>
      <c r="C5" s="24" t="inlineStr">
        <is>
          <t>Propio (ente): Agencia de la Competencia y de la Regulación Económica de Andalucía (antes Agencia de Defensa de la Competencia de Andalucía)</t>
        </is>
      </c>
      <c r="D5" s="24" t="inlineStr">
        <is>
          <t>Propio (órgano): Tribunal de Defensa de la Competencia de Aragón (resolución) + Servicio de Defensa de la Competencia (instrucción, en el departamento)</t>
        </is>
      </c>
      <c r="E5" s="25" t="inlineStr">
        <is>
          <t>Lo cubre el Estado</t>
        </is>
      </c>
      <c r="F5" s="25" t="inlineStr">
        <is>
          <t>Lo cubre el Estado</t>
        </is>
      </c>
      <c r="G5" s="24" t="inlineStr">
        <is>
          <t>Propio (órgano): Consejo Canario de Defensa de la Competencia (resolución) + Servicio de Defensa de la Competencia (instrucción)</t>
        </is>
      </c>
      <c r="H5" s="25" t="inlineStr">
        <is>
          <t>Lo cubre el Estado</t>
        </is>
      </c>
      <c r="I5" s="25" t="inlineStr">
        <is>
          <t>Lo cubre el Estado</t>
        </is>
      </c>
      <c r="J5" s="24" t="inlineStr">
        <is>
          <t>Propio (órgano): Órgano autonómico de defensa de la competencia de Castilla y León (instrucción + resolución; nombre a confirmar)</t>
        </is>
      </c>
      <c r="K5" s="24" t="inlineStr">
        <is>
          <t>Propio (ente): Autoritat Catalana de la Competència (ACCO)</t>
        </is>
      </c>
      <c r="L5" s="24" t="inlineStr">
        <is>
          <t>Propio (órgano): Comisión de Defensa de la Competencia de la Comunitat Valenciana</t>
        </is>
      </c>
      <c r="M5" s="24" t="inlineStr">
        <is>
          <t>Propio (órgano): Jurado de Defensa de la Competencia de Extremadura</t>
        </is>
      </c>
      <c r="N5" s="24" t="inlineStr">
        <is>
          <t>Propio (órgano): Comisión Galega da Competencia (órgano colegiado independiente adscrito al Instituto Galego do Consumo e da Competencia, OA)</t>
        </is>
      </c>
      <c r="O5" s="25" t="inlineStr">
        <is>
          <t>Consejería</t>
        </is>
      </c>
      <c r="P5" s="25" t="inlineStr">
        <is>
          <t>Consejería</t>
        </is>
      </c>
      <c r="Q5" s="25" t="inlineStr">
        <is>
          <t>Consejería</t>
        </is>
      </c>
      <c r="R5" s="24" t="inlineStr">
        <is>
          <t>Propio (ente): Autoridad Vasca de la Competencia (AVC)</t>
        </is>
      </c>
      <c r="S5" s="25" t="inlineStr">
        <is>
          <t>Lo cubre el Estado</t>
        </is>
      </c>
      <c r="T5" s="20">
        <f>COUNTIF(C5:S5,"Propio*")</f>
        <v/>
      </c>
      <c r="U5" s="20">
        <f>COUNTIF(C5:S5,"Sin verificar")</f>
        <v/>
      </c>
      <c r="V5" s="20">
        <f>1+T5</f>
        <v/>
      </c>
      <c r="W5" s="20" t="inlineStr">
        <is>
          <t>Sí, por defecto: donde no hay órgano autonómico actúa la CNMC, y donde la CA solo instruye (Madrid, Murcia, Navarra) resuelve la CNMC. Los casos se reparten mediante el Consejo de Defensa de la Competencia.</t>
        </is>
      </c>
      <c r="X5" s="20" t="inlineStr">
        <is>
          <t>Defensa de la competencia: legislación estatal (Ley 15/2007). Las CCAA con competencia estatutaria ejecutan sobre conductas que afectan solo a su territorio, con puntos de conexión y asignación de casos según la Ley 1/2002 de coordinación; las conductas supraautonómicas corresponden siempre a la CNMC.</t>
        </is>
      </c>
      <c r="Y5" s="20" t="inlineStr">
        <is>
          <t>https://cnmc.es/la-cnmc-y-las-autoridades-de-competencia-autonomicas-han-celebrado-en-madrid-el-consejo-anual-de
https://www.boe.es/buscar/act.php?id=BOE-A-2007-14406
https://derecholocal.es/?p=11702
https://dogv.gva.es/datos/2012/03/26/pdf/2012_3049.pdf
https://laadministracionaldia.inap.es/noticia.asp?id=1057841
https://www.juntaex.es/w/0680923
https://www.lex.gal/es/normativa/detalle/10097/pdf/
https://www.boe.es/buscar/act.php?id=BOE-A-2012-2313
https://cnmc.es/sites/default/files/editor_contenidos/CNMC/Memorias/Resumen-ejecutivo-memoria-2024_.pdf</t>
        </is>
      </c>
    </row>
    <row r="6">
      <c r="A6" s="20" t="inlineStr">
        <is>
          <t>Oficinas y agencias antifraude y de protección del informante</t>
        </is>
      </c>
      <c r="B6" s="20" t="inlineStr">
        <is>
          <t>Autoridad Independiente de Protección del Informante, A.A.I. (AIPI)</t>
        </is>
      </c>
      <c r="C6" s="24" t="inlineStr">
        <is>
          <t>Propio (ente): Oficina Andaluza contra el Fraude y la Corrupción (OAAF)</t>
        </is>
      </c>
      <c r="D6" s="25" t="inlineStr">
        <is>
          <t>No existe</t>
        </is>
      </c>
      <c r="E6" s="24" t="inlineStr">
        <is>
          <t>Propio (ente): Consejo de Transparencia y Buen Gobierno del Principado de Asturias</t>
        </is>
      </c>
      <c r="F6" s="25" t="inlineStr">
        <is>
          <t>No existe</t>
        </is>
      </c>
      <c r="G6" s="25" t="inlineStr">
        <is>
          <t>No existe</t>
        </is>
      </c>
      <c r="H6" s="25" t="inlineStr">
        <is>
          <t>No existe</t>
        </is>
      </c>
      <c r="I6" s="25" t="inlineStr">
        <is>
          <t>No existe</t>
        </is>
      </c>
      <c r="J6" s="24" t="inlineStr">
        <is>
          <t>Propio (órgano): Autoridad Independiente en materia de Corrupción de Castilla y León (AAICyL)</t>
        </is>
      </c>
      <c r="K6" s="24" t="inlineStr">
        <is>
          <t>Propio (ente): Oficina Antifraude de Cataluña (OAC)</t>
        </is>
      </c>
      <c r="L6" s="24" t="inlineStr">
        <is>
          <t>Propio (ente): Agencia de Prevención y Lucha contra el Fraude y la Corrupción de la Comunitat Valenciana (AVAF)</t>
        </is>
      </c>
      <c r="M6" s="25" t="inlineStr">
        <is>
          <t>No existe</t>
        </is>
      </c>
      <c r="N6" s="24" t="inlineStr">
        <is>
          <t>Propio (ente): Autoridad Gallega de Protección de la Persona Informante (AGPI)</t>
        </is>
      </c>
      <c r="O6" s="24" t="inlineStr">
        <is>
          <t>Propio (órgano): Consejo de Transparencia y Protección de Datos de la Comunidad de Madrid (CTPD)</t>
        </is>
      </c>
      <c r="P6" s="25" t="inlineStr">
        <is>
          <t>No existe</t>
        </is>
      </c>
      <c r="Q6" s="24" t="inlineStr">
        <is>
          <t>Propio (ente): Oficina de Buenas Prácticas y Anticorrupción de la Comunidad Foral de Navarra (OANA)</t>
        </is>
      </c>
      <c r="R6" s="24" t="inlineStr">
        <is>
          <t>Propio (ente): Autoridad Vasca de Transparencia – Gardena</t>
        </is>
      </c>
      <c r="S6" s="25" t="inlineStr">
        <is>
          <t>No existe</t>
        </is>
      </c>
      <c r="T6" s="20">
        <f>COUNTIF(C6:S6,"Propio*")</f>
        <v/>
      </c>
      <c r="U6" s="20">
        <f>COUNTIF(C6:S6,"Sin verificar")</f>
        <v/>
      </c>
      <c r="V6" s="20">
        <f>1+T6</f>
        <v/>
      </c>
      <c r="W6" s="20" t="inlineStr">
        <is>
          <t>parcial: la AIPI cubre el sector público estatal; para el sector público de las CCAA sin autoridad propia requiere convenio con la Consejería competente, y el PAA 2026 no cita ninguno firmado (objetivo de 3 en 2026). Hoy hay 8 CCAA sin autoridad propia ni convenio verificado.</t>
        </is>
      </c>
      <c r="X6" s="20" t="inlineStr">
        <is>
          <t>Protección del informante: la Ley 2/2023 (art. 24) permite a cada comunidad designar su propia autoridad independiente para su sector público autonómico y local; si no la designa, la AIPI solo puede actuar en ese territorio mediante convenio (DA 2ª). Las oficinas antifraude previas son creación autonómica por autoorganización (casi todas adscritas al Parlamento).</t>
        </is>
      </c>
      <c r="Y6" s="20" t="inlineStr">
        <is>
          <t>https://www.proteccioninformante.gob.es/content/dam/aipi/documentos/PLAN_ACTUACION_ANUAL_2026_AIPI.pdf
https://laadministracionaldia.inap.es/noticia.asp?id=1520499
https://www.cepc.gob.es/sites/default/files/2026-06/20260617-aipi.pdf
https://laadministracionaldia.inap.es/noticia.asp?id=1249714
https://intranet.caib.es/eboibfront/pdf/es/2024/68/1162692
https://www.comunidad.madrid/consejo-transparencia/canal-externo-informante
https://laadministracionaldia.inap.es/noticia.asp?id=1260634
https://www.boe.es/eli/es-ar/l/2017/06/01/5/con</t>
        </is>
      </c>
    </row>
    <row r="7">
      <c r="A7" s="20" t="inlineStr">
        <is>
          <t>Agencias de calidad universitaria</t>
        </is>
      </c>
      <c r="B7" s="20" t="inlineStr">
        <is>
          <t>Agencia Nacional de Evaluación de la Calidad y Acreditación (ANECA)</t>
        </is>
      </c>
      <c r="C7" s="24" t="inlineStr">
        <is>
          <t>Propio (ente): Agencia para la Calidad Científica y Universitaria de Andalucía (ACCUA)</t>
        </is>
      </c>
      <c r="D7" s="24" t="inlineStr">
        <is>
          <t>Propio (ente): Agencia de Calidad y Prospectiva Universitaria de Aragón (ACPUA)</t>
        </is>
      </c>
      <c r="E7" s="25" t="inlineStr">
        <is>
          <t>Lo cubre el Estado</t>
        </is>
      </c>
      <c r="F7" s="24" t="inlineStr">
        <is>
          <t>Propio (ente): Agència de Qualitat Universitària de les Illes Balears (AQUIB)</t>
        </is>
      </c>
      <c r="G7" s="24" t="inlineStr">
        <is>
          <t>Propio (ente): Agencia Canaria de Calidad Universitaria y Evaluación Educativa (ACCUEE)</t>
        </is>
      </c>
      <c r="H7" s="25" t="inlineStr">
        <is>
          <t>Lo cubre el Estado</t>
        </is>
      </c>
      <c r="I7" s="25" t="inlineStr">
        <is>
          <t>Lo cubre el Estado</t>
        </is>
      </c>
      <c r="J7" s="24" t="inlineStr">
        <is>
          <t>Propio (ente): Agencia para la Calidad del Sistema Universitario de Castilla y León (ACSUCYL)</t>
        </is>
      </c>
      <c r="K7" s="24" t="inlineStr">
        <is>
          <t>Propio (ente): Agència per a la Qualitat del Sistema Universitari de Catalunya (AQU Catalunya)</t>
        </is>
      </c>
      <c r="L7" s="24" t="inlineStr">
        <is>
          <t>Propio (ente): Agència Valenciana d'Avaluació i Prospectiva (AVAP)</t>
        </is>
      </c>
      <c r="M7" s="25" t="inlineStr">
        <is>
          <t>Lo cubre el Estado</t>
        </is>
      </c>
      <c r="N7" s="24" t="inlineStr">
        <is>
          <t>Propio (ente): Axencia para a Calidade do Sistema Universitario de Galicia (ACSUG)</t>
        </is>
      </c>
      <c r="O7" s="24" t="inlineStr">
        <is>
          <t>Propio (ente): Fundación para el Conocimiento madri+d</t>
        </is>
      </c>
      <c r="P7" s="25" t="inlineStr">
        <is>
          <t>Lo cubre el Estado</t>
        </is>
      </c>
      <c r="Q7" s="25" t="inlineStr">
        <is>
          <t>Lo cubre el Estado</t>
        </is>
      </c>
      <c r="R7" s="24" t="inlineStr">
        <is>
          <t>Propio (ente): Agencia de Calidad del Sistema Universitario Vasco (Unibasq)</t>
        </is>
      </c>
      <c r="S7" s="25" t="inlineStr">
        <is>
          <t>Lo cubre el Estado</t>
        </is>
      </c>
      <c r="T7" s="20">
        <f>COUNTIF(C7:S7,"Propio*")</f>
        <v/>
      </c>
      <c r="U7" s="20">
        <f>COUNTIF(C7:S7,"Sin verificar")</f>
        <v/>
      </c>
      <c r="V7" s="20">
        <f>1+T7</f>
        <v/>
      </c>
      <c r="W7" s="20" t="inlineStr">
        <is>
          <t>sí, por defecto: ANECA evalúa en las 7 CCAA sin agencia propia (Asturias, Cantabria, Castilla-La Mancha, Extremadura, Murcia, Navarra, La Rioja). Además las universidades pueden recurrir a cualquier agencia inscrita en EQAR.</t>
        </is>
      </c>
      <c r="X7" s="20" t="inlineStr">
        <is>
          <t>Garantía de calidad universitaria: la evaluación y acreditación de títulos e instituciones corresponde a ANECA o a las agencias autonómicas inscritas en EQAR, cada una en su ámbito (normativa universitaria estatal: LOSU y RD 822/2021). Las CCAA pueden crear su agencia; si no la crean, actúa ANECA.</t>
        </is>
      </c>
      <c r="Y7" s="20" t="inlineStr">
        <is>
          <t>https://eqar.eu/register/agencies
https://www.aneca.es/en/reacu-network
https://dogv.gva.es/datos/2024/01/12/pdf/2024_156.pdf
https://www.inqaahe.org/wp-content/uploads/2025/02/D250.pdf
https://intranet.caib.es/eboibfront/pdf/es/2021/98/1093428</t>
        </is>
      </c>
    </row>
    <row r="8">
      <c r="A8" s="20" t="inlineStr">
        <is>
          <t>Evaluación de políticas públicas</t>
        </is>
      </c>
      <c r="B8" s="20" t="inlineStr">
        <is>
          <t>Agencia Estatal de Evaluación de Políticas Públicas</t>
        </is>
      </c>
      <c r="C8" s="25" t="inlineStr">
        <is>
          <t>Consejería</t>
        </is>
      </c>
      <c r="D8" s="26" t="inlineStr">
        <is>
          <t>Sin verificar</t>
        </is>
      </c>
      <c r="E8" s="26" t="inlineStr">
        <is>
          <t>Sin verificar</t>
        </is>
      </c>
      <c r="F8" s="26" t="inlineStr">
        <is>
          <t>Sin verificar</t>
        </is>
      </c>
      <c r="G8" s="26" t="inlineStr">
        <is>
          <t>Sin verificar</t>
        </is>
      </c>
      <c r="H8" s="26" t="inlineStr">
        <is>
          <t>Sin verificar</t>
        </is>
      </c>
      <c r="I8" s="26" t="inlineStr">
        <is>
          <t>Sin verificar</t>
        </is>
      </c>
      <c r="J8" s="25" t="inlineStr">
        <is>
          <t>Consejería</t>
        </is>
      </c>
      <c r="K8" s="24" t="inlineStr">
        <is>
          <t>Propio (ente): Institut Català d'Avaluació de Polítiques Públiques (Ivàlua)</t>
        </is>
      </c>
      <c r="L8" s="26" t="inlineStr">
        <is>
          <t>Sin verificar</t>
        </is>
      </c>
      <c r="M8" s="26" t="inlineStr">
        <is>
          <t>Sin verificar</t>
        </is>
      </c>
      <c r="N8" s="26" t="inlineStr">
        <is>
          <t>Sin verificar</t>
        </is>
      </c>
      <c r="O8" s="26" t="inlineStr">
        <is>
          <t>Sin verificar</t>
        </is>
      </c>
      <c r="P8" s="26" t="inlineStr">
        <is>
          <t>Sin verificar</t>
        </is>
      </c>
      <c r="Q8" s="24" t="inlineStr">
        <is>
          <t>Propio (órgano): Comisión Foral para la Evaluación de las Políticas Públicas y la Calidad de los Servicios Públicos</t>
        </is>
      </c>
      <c r="R8" s="26" t="inlineStr">
        <is>
          <t>Sin verificar</t>
        </is>
      </c>
      <c r="S8" s="26" t="inlineStr">
        <is>
          <t>Sin verificar</t>
        </is>
      </c>
      <c r="T8" s="20">
        <f>COUNTIF(C8:S8,"Propio*")</f>
        <v/>
      </c>
      <c r="U8" s="20">
        <f>COUNTIF(C8:S8,"Sin verificar")</f>
        <v/>
      </c>
      <c r="V8" s="20">
        <f>1+T8</f>
        <v/>
      </c>
      <c r="W8" s="20" t="inlineStr">
        <is>
          <t>no: la Agencia estatal evalúa políticas de la AGE. Las CCAA cooperan en la red voluntaria REDEVAL y no se ha verificado ningún convenio de evaluación por encargo.</t>
        </is>
      </c>
      <c r="X8" s="20" t="inlineStr">
        <is>
          <t>Evaluación de políticas públicas: la Ley 27/2022 regula solo la AGE; cada comunidad organiza la evaluación de sus propias políticas por autoorganización, con ley propia o sin ella. La cooperación se hace por la red voluntaria REDEVAL (constituida en 2025: 13 CCAA y el Gobierno de España).</t>
        </is>
      </c>
      <c r="Y8" s="20" t="inlineStr">
        <is>
          <t>https://www.boe.es/diario_boe/txt.php?id=BOE-A-2026-2553
https://laadministracionaldia.inap.es/noticia.asp?id=1518225
https://www.boe.es/boe/dias/2026/07/28/pdfs/BOE-A-2026-16358.pdf
https://laadministracionaldia.inap.es/noticia.asp?id=1516123
https://aecpa.es/files/view/pdf/congress-papers/17-0/3430
https://www.redalyc.org/journal/2815/281573431006/281573431006.pdf
https://europeanevaluation.org/2026/02/05/spains-evaluation-awakening-a-decisive-momentum-from-quiet-reform-to-national-movement/</t>
        </is>
      </c>
    </row>
    <row r="9">
      <c r="A9" s="20" t="inlineStr">
        <is>
          <t>Escuelas e institutos de formación de empleados públicos</t>
        </is>
      </c>
      <c r="B9" s="20" t="inlineStr">
        <is>
          <t>Instituto Nacional de Administración Pública (INAP)</t>
        </is>
      </c>
      <c r="C9" s="24" t="inlineStr">
        <is>
          <t>Propio (ente): Instituto Andaluz de Administración Pública (IAAP)</t>
        </is>
      </c>
      <c r="D9" s="24" t="inlineStr">
        <is>
          <t>Propio (órgano): Instituto Aragonés de Administración Pública (IAAP)</t>
        </is>
      </c>
      <c r="E9" s="24" t="inlineStr">
        <is>
          <t>Propio (órgano): Instituto Asturiano de Administración Pública 'Adolfo Posada'</t>
        </is>
      </c>
      <c r="F9" s="24" t="inlineStr">
        <is>
          <t>Propio (ente): Escuela Balear de Administración Pública (EBAP)</t>
        </is>
      </c>
      <c r="G9" s="26" t="inlineStr">
        <is>
          <t>Sin verificar</t>
        </is>
      </c>
      <c r="H9" s="24" t="inlineStr">
        <is>
          <t>Propio (ente): Instituto Cántabro de Administración Pública 'Rafael de la Sierra' (ICAP)</t>
        </is>
      </c>
      <c r="I9" s="24" t="inlineStr">
        <is>
          <t>Propio (órgano): Escuela de Administración Regional (EAR)</t>
        </is>
      </c>
      <c r="J9" s="24" t="inlineStr">
        <is>
          <t>Propio (órgano): Escuela de Administración Pública de Castilla y León (ECLAP)</t>
        </is>
      </c>
      <c r="K9" s="24" t="inlineStr">
        <is>
          <t>Propio (ente): Escola d'Administració Pública de Catalunya (EAPC)</t>
        </is>
      </c>
      <c r="L9" s="26" t="inlineStr">
        <is>
          <t>Sin verificar</t>
        </is>
      </c>
      <c r="M9" s="26" t="inlineStr">
        <is>
          <t>Sin verificar</t>
        </is>
      </c>
      <c r="N9" s="24" t="inlineStr">
        <is>
          <t>Propio (ente): Escola Galega de Administración Pública (EGAP)</t>
        </is>
      </c>
      <c r="O9" s="26" t="inlineStr">
        <is>
          <t>Sin verificar</t>
        </is>
      </c>
      <c r="P9" s="24" t="inlineStr">
        <is>
          <t>Propio (órgano): Escuela de Formación e Innovación de la Administración Pública de la Región de Murcia (EFIAP)</t>
        </is>
      </c>
      <c r="Q9" s="25" t="inlineStr">
        <is>
          <t>Consejería</t>
        </is>
      </c>
      <c r="R9" s="24" t="inlineStr">
        <is>
          <t>Propio (ente): Instituto Vasco de Administración Pública (IVAP)</t>
        </is>
      </c>
      <c r="S9" s="24" t="inlineStr">
        <is>
          <t>Propio (órgano): Escuela Riojana de Administración Pública (ERAP)</t>
        </is>
      </c>
      <c r="T9" s="20">
        <f>COUNTIF(C9:S9,"Propio*")</f>
        <v/>
      </c>
      <c r="U9" s="20">
        <f>COUNTIF(C9:S9,"Sin verificar")</f>
        <v/>
      </c>
      <c r="V9" s="20">
        <f>1+T9</f>
        <v/>
      </c>
      <c r="W9" s="20" t="inlineStr">
        <is>
          <t>no: el INAP no forma al personal autonómico como servicio sustitutivo. Solo financia en parte (AFEDAP) y colabora con las escuelas autonómicas.</t>
        </is>
      </c>
      <c r="X9" s="20" t="inlineStr">
        <is>
          <t>Formación de empleados públicos: cada administración forma a su propio personal (autoorganización y función pública propia, TREBEP). El Estado coordina y financia en parte mediante el AFEDAP, que gestiona el INAP.</t>
        </is>
      </c>
      <c r="Y9" s="20" t="inlineStr">
        <is>
          <t>https://portal.inap.es/documents/10136/2292011/2022-MEMORIA.pdf/1f8338c1-e550-48bb-0c00-eefcbcd684af
https://boe.es/boe/dias/2008/06/11/pdfs/A26873-26873.pdf</t>
        </is>
      </c>
    </row>
    <row r="10">
      <c r="A10" s="20" t="inlineStr">
        <is>
          <t>Agencias de ciberseguridad</t>
        </is>
      </c>
      <c r="B10" s="20" t="inlineStr">
        <is>
          <t>INCIBE (S.M.E. Instituto Nacional de Ciberseguridad de España, sociedad mercantil estatal) y CCN-CERT (capacidad de respuesta del Centro Criptológico Nacional, integrado en el CNI)</t>
        </is>
      </c>
      <c r="C10" s="24" t="inlineStr">
        <is>
          <t>Propio (órgano): AndalucíaCERT (Centro de Seguridad TIC de Andalucía)</t>
        </is>
      </c>
      <c r="D10" s="26" t="inlineStr">
        <is>
          <t>Sin verificar</t>
        </is>
      </c>
      <c r="E10" s="26" t="inlineStr">
        <is>
          <t>Sin verificar</t>
        </is>
      </c>
      <c r="F10" s="24" t="inlineStr">
        <is>
          <t>Propio (ente): Agencia Balear de Digitalización, Ciberseguridad y Telecomunicaciones (ABDigital)</t>
        </is>
      </c>
      <c r="G10" s="26" t="inlineStr">
        <is>
          <t>Sin verificar</t>
        </is>
      </c>
      <c r="H10" s="26" t="inlineStr">
        <is>
          <t>Sin verificar</t>
        </is>
      </c>
      <c r="I10" s="26" t="inlineStr">
        <is>
          <t>Sin verificar</t>
        </is>
      </c>
      <c r="J10" s="26" t="inlineStr">
        <is>
          <t>Sin verificar</t>
        </is>
      </c>
      <c r="K10" s="24" t="inlineStr">
        <is>
          <t>Propio (ente): Agència de Ciberseguretat de Catalunya</t>
        </is>
      </c>
      <c r="L10" s="24" t="inlineStr">
        <is>
          <t>Propio (órgano): CSIRT-CV, Centro de Ciberseguridad de la Generalitat</t>
        </is>
      </c>
      <c r="M10" s="26" t="inlineStr">
        <is>
          <t>Sin verificar</t>
        </is>
      </c>
      <c r="N10" s="24" t="inlineStr">
        <is>
          <t>Propio (órgano): CSIRT.gal (Centro de Respuesta a Incidentes de Ciberseguridad de la Xunta)</t>
        </is>
      </c>
      <c r="O10" s="24" t="inlineStr">
        <is>
          <t>Propio (ente): Agencia de Ciberseguridad de la Comunidad de Madrid</t>
        </is>
      </c>
      <c r="P10" s="26" t="inlineStr">
        <is>
          <t>Sin verificar</t>
        </is>
      </c>
      <c r="Q10" s="26" t="inlineStr">
        <is>
          <t>Sin verificar</t>
        </is>
      </c>
      <c r="R10" s="24" t="inlineStr">
        <is>
          <t>Propio (ente): Agencia Vasca de Ciberseguridad (Zibersegurtasuneko Euskal Agentzia)</t>
        </is>
      </c>
      <c r="S10" s="26" t="inlineStr">
        <is>
          <t>Sin verificar</t>
        </is>
      </c>
      <c r="T10" s="20">
        <f>COUNTIF(C10:S10,"Propio*")</f>
        <v/>
      </c>
      <c r="U10" s="20">
        <f>COUNTIF(C10:S10,"Sin verificar")</f>
        <v/>
      </c>
      <c r="V10" s="20">
        <f>2+T10</f>
        <v/>
      </c>
      <c r="W10" s="20" t="inlineStr">
        <is>
          <t>Sí, por ley y por defecto: el CCN-CERT ya es el CSIRT de referencia de todas las administraciones autonómicas. Varias CCAA sin agencia propia operan SOC o CSIRT integrados en la Red Nacional de SOC del CCN o con convenio con el CCN-CERT (p. ej. Baleares 2022, Galicia, Castilla y León).</t>
        </is>
      </c>
      <c r="X10" s="20" t="inlineStr">
        <is>
          <t>Seguridad pública, defensa y telecomunicaciones son competencias estatales (art. 149.1.21ª, 29ª CE). La normativa NIS (RD-ley 12/2018) designa CSIRT de referencia estatales: el CCN-CERT para el sector público y el INCIBE-CERT para el sector privado. Cada CCAA protege sus propios sistemas por autoorganización, aplicando el Esquema Nacional de Seguridad.</t>
        </is>
      </c>
      <c r="Y10" s="20" t="inlineStr">
        <is>
          <t>https://www.boe.es/eli/es-ct/l/2017/07/25/15
https://www.boe.es/diario_boe/txt.php?id=BOE-A-2023-17645
https://www.bocm.es/boletin/CM_Orden_BOCM/2026/07/14/BOCM-20260714-12.PDF
https://www.caib.es/eboibfront/eli/es-ib/d/2025/12/19/63/dof/spa/pdf
https://www.caib.es/sites/dgtic/es/soc/
https://sedian.juntadeandalucia.es/rfc-2350
https://laadministracionaldia.inap.es/noticia.asp?id=1515740
https://www.xunta.gal/hemeroteca/-/nova/157128/centro-respuesta-incidentes-ciberseguridad-xunta-entra-red-nacional-impulsada
https://ast.aragon.es/sites/default/files/ast_memoriaactividad2016_resumen.pdf</t>
        </is>
      </c>
    </row>
    <row r="11">
      <c r="A11" s="20" t="inlineStr">
        <is>
          <t>Agencias de administración digital y TIC</t>
        </is>
      </c>
      <c r="B11" s="20" t="inlineStr">
        <is>
          <t>Agencia Estatal de Administración Digital (AEAD)</t>
        </is>
      </c>
      <c r="C11" s="24" t="inlineStr">
        <is>
          <t>Propio (ente): Agencia Digital de Andalucía (ADA)</t>
        </is>
      </c>
      <c r="D11" s="24" t="inlineStr">
        <is>
          <t>Propio (ente): Aragonesa de Servicios Telemáticos (AST)</t>
        </is>
      </c>
      <c r="E11" s="26" t="inlineStr">
        <is>
          <t>Sin verificar</t>
        </is>
      </c>
      <c r="F11" s="24" t="inlineStr">
        <is>
          <t>Propio (ente): Agencia Balear de Digitalización, Ciberseguridad y Telecomunicaciones (ABDigital)</t>
        </is>
      </c>
      <c r="G11" s="26" t="inlineStr">
        <is>
          <t>Sin verificar</t>
        </is>
      </c>
      <c r="H11" s="26" t="inlineStr">
        <is>
          <t>Sin verificar</t>
        </is>
      </c>
      <c r="I11" s="24" t="inlineStr">
        <is>
          <t>Propio (ente): Agencia de Transformación Digital de Castilla-La Mancha</t>
        </is>
      </c>
      <c r="J11" s="26" t="inlineStr">
        <is>
          <t>Sin verificar</t>
        </is>
      </c>
      <c r="K11" s="24" t="inlineStr">
        <is>
          <t>Propio (ente): Centre de Telecomunicacions i Tecnologies de la Informació (CTTI)</t>
        </is>
      </c>
      <c r="L11" s="25" t="inlineStr">
        <is>
          <t>Consejería</t>
        </is>
      </c>
      <c r="M11" s="26" t="inlineStr">
        <is>
          <t>Sin verificar</t>
        </is>
      </c>
      <c r="N11" s="24" t="inlineStr">
        <is>
          <t>Propio (ente): Agencia para la Modernización Tecnológica de Galicia (AMTEGA)</t>
        </is>
      </c>
      <c r="O11" s="24" t="inlineStr">
        <is>
          <t>Propio (ente): Agencia para la Administración Digital de la Comunidad de Madrid (Madrid Digital)</t>
        </is>
      </c>
      <c r="P11" s="24" t="inlineStr">
        <is>
          <t>Propio (ente): Agencia Digital de la Región de Murcia (organismo autónomo)</t>
        </is>
      </c>
      <c r="Q11" s="26" t="inlineStr">
        <is>
          <t>Sin verificar</t>
        </is>
      </c>
      <c r="R11" s="24" t="inlineStr">
        <is>
          <t>Propio (ente): EJIE, Sociedad Informática del Gobierno Vasco, S.A.</t>
        </is>
      </c>
      <c r="S11" s="26" t="inlineStr">
        <is>
          <t>Sin verificar</t>
        </is>
      </c>
      <c r="T11" s="20">
        <f>COUNTIF(C11:S11,"Propio*")</f>
        <v/>
      </c>
      <c r="U11" s="20">
        <f>COUNTIF(C11:S11,"Sin verificar")</f>
        <v/>
      </c>
      <c r="V11" s="20">
        <f>1+T11</f>
        <v/>
      </c>
      <c r="W11" s="20" t="inlineStr">
        <is>
          <t>Parcial, por adhesión voluntaria a servicios comunes de la AGE; no sustituye a los servicios TIC autonómicos.</t>
        </is>
      </c>
      <c r="X11" s="20" t="inlineStr">
        <is>
          <t>Autoorganización: cada administración gestiona sus propios sistemas de información (art. 148.1.1ª CE y estatutos). La Ley 40/2015 obliga a la interoperabilidad y permite reutilizar y adherirse a soluciones de otras administraciones.</t>
        </is>
      </c>
      <c r="Y11" s="20" t="inlineStr">
        <is>
          <t>https://www.boe.es/buscar/doc.php?id=BOE-A-2024-22929
https://www.juntadeandalucia.es/boja/2021/65/43
https://ast.aragon.es/sites/default/files/ast_memoriaactividad2016_resumen.pdf
https://www.caib.es/eboibfront/eli/es-ib/d/2025/12/19/63/dof/spa/pdf
https://www.boe.es/eli/es-cm/l/2024/03/15/1
https://documents.dadesobertes.gencat.cat/convenis/docs/2021/2021_5_1536/2021_5_1536_0.pdf
https://pdr-mediorural.xunta.gal/sites/default/files/inline-files/D.252.11.castellano.pdf
https://www.bocm.es/boletin/CM_Orden_BOCM/2026/07/14/BOCM-20260714-12.PDF
https://www.boe.es/buscar/act.php?id=BORM-s-2022-90316
https://www.ejie.euskadi.eus/who-we-are/-/legal-and-corporate-framework/
https://laadministracionaldia.inap.es/noticia.asp?id=1515740</t>
        </is>
      </c>
    </row>
    <row r="12">
      <c r="A12" s="20" t="inlineStr">
        <is>
          <t>Agencias de investigación e innovación</t>
        </is>
      </c>
      <c r="B12" s="20" t="inlineStr">
        <is>
          <t>Agencia Estatal de Investigación (AEI) y Centro para el Desarrollo Tecnológico y la Innovación (CDTI, E.P.E.)</t>
        </is>
      </c>
      <c r="C12" s="25" t="inlineStr">
        <is>
          <t>Consejería</t>
        </is>
      </c>
      <c r="D12" s="24" t="inlineStr">
        <is>
          <t>Propio (ente): Fundación Agencia Aragonesa para la Investigación y el Desarrollo (ARAID)</t>
        </is>
      </c>
      <c r="E12" s="24" t="inlineStr">
        <is>
          <t>Propio (ente): Agencia de Ciencia, Competitividad Empresarial e Innovación del Principado de Asturias (SEKUENS)</t>
        </is>
      </c>
      <c r="F12" s="26" t="inlineStr">
        <is>
          <t>Sin verificar</t>
        </is>
      </c>
      <c r="G12" s="24" t="inlineStr">
        <is>
          <t>Propio (órgano): Agencia Canaria de Investigación, Innovación y Sociedad de la Información (ACIISI)</t>
        </is>
      </c>
      <c r="H12" s="26" t="inlineStr">
        <is>
          <t>Sin verificar</t>
        </is>
      </c>
      <c r="I12" s="24" t="inlineStr">
        <is>
          <t>Propio (ente): Agencia de Investigación e Innovación de Castilla-La Mancha (organismo autónomo)</t>
        </is>
      </c>
      <c r="J12" s="26" t="inlineStr">
        <is>
          <t>Sin verificar</t>
        </is>
      </c>
      <c r="K12" s="24" t="inlineStr">
        <is>
          <t>Propio (ente): Agència de Gestió d'Ajuts Universitaris i de Recerca (AGAUR)</t>
        </is>
      </c>
      <c r="L12" s="24" t="inlineStr">
        <is>
          <t>Propio (ente): Agència Valenciana de la Innovació (AVI), integrada operativamente en IVACE+i</t>
        </is>
      </c>
      <c r="M12" s="26" t="inlineStr">
        <is>
          <t>Sin verificar</t>
        </is>
      </c>
      <c r="N12" s="24" t="inlineStr">
        <is>
          <t>Propio (ente): Axencia Galega de Innovación (GAIN)</t>
        </is>
      </c>
      <c r="O12" s="26" t="inlineStr">
        <is>
          <t>Sin verificar</t>
        </is>
      </c>
      <c r="P12" s="24" t="inlineStr">
        <is>
          <t>Propio (ente): Fundación Séneca, Agencia de Ciencia y Tecnología de la Región de Murcia</t>
        </is>
      </c>
      <c r="Q12" s="26" t="inlineStr">
        <is>
          <t>Sin verificar</t>
        </is>
      </c>
      <c r="R12" s="26" t="inlineStr">
        <is>
          <t>Sin verificar</t>
        </is>
      </c>
      <c r="S12" s="26" t="inlineStr">
        <is>
          <t>Sin verificar</t>
        </is>
      </c>
      <c r="T12" s="20">
        <f>COUNTIF(C12:S12,"Propio*")</f>
        <v/>
      </c>
      <c r="U12" s="20">
        <f>COUNTIF(C12:S12,"Sin verificar")</f>
        <v/>
      </c>
      <c r="V12" s="20">
        <f>2+T12</f>
        <v/>
      </c>
      <c r="W12" s="20" t="inlineStr">
        <is>
          <t>Sí, en concurrencia: AEI y CDTI financian a entidades de todas las CCAA mediante convocatorias estatales; los organismos autonómicos añaden fondos propios y no cubren huecos territoriales.</t>
        </is>
      </c>
      <c r="X12" s="20" t="inlineStr">
        <is>
          <t>Fomento y coordinación general de la investigación científica y técnica: competencia estatal (art. 149.1.15ª CE). Las CCAA pueden fomentar la investigación en su territorio (art. 148.1.17ª CE y estatutos), coordinadas por la Ley 14/2011 de la Ciencia y el Consejo de Política Científica, Tecnológica y de Innovación.</t>
        </is>
      </c>
      <c r="Y12" s="20" t="inlineStr">
        <is>
          <t>https://www.boe.es/eli/es/rd/2015/11/27/1067
https://www.boe.es/eli/es/rd/2026/04/01/263
https://laadministracionaldia.inap.es/noticia.asp?id=1264632
https://www.juntadeandalucia.es/export/presup2026/memoria/memoria2-e-2.pdf
https://www.boe.es/boe/dias/2019/01/28/pdfs/BOE-A-2019-994.pdf
https://boe.es/buscar/doc.php?id=BOE-A-2023-1605
https://www.gobiernodecanarias.org/conocimiento/la_agencia/
https://castillalamancha.es/sites/default/files/documentos/pdf/20220629/08_decreto_54_2022_estatutos_agencia_investigacion.pdf
https://laadministracionaldia.inap.es/noticia.asp?id=1266605
https://www.uv.es/serinves/convocatories/2026/Avi%202026/instruccions_internes.pdf
https://www.xunta.gal/dog/Publicados/2012/20120127/AnuncioCA04-230112-11332_es.html
https://www.borm.es/services/anuncio/ano/2026/numero/2481/pdf?id=843163</t>
        </is>
      </c>
    </row>
    <row r="13">
      <c r="A13" s="20" t="inlineStr">
        <is>
          <t>Agencias de la energía</t>
        </is>
      </c>
      <c r="B13" s="20" t="inlineStr">
        <is>
          <t>Instituto para la Diversificación y Ahorro de la Energía (IDAE)</t>
        </is>
      </c>
      <c r="C13" s="24" t="inlineStr">
        <is>
          <t>Propio (ente): Agencia Andaluza de la Energía</t>
        </is>
      </c>
      <c r="D13" s="25" t="inlineStr">
        <is>
          <t>Consejería</t>
        </is>
      </c>
      <c r="E13" s="24" t="inlineStr">
        <is>
          <t>Propio (ente): Fundación Asturiana de la Energía (FAEN)</t>
        </is>
      </c>
      <c r="F13" s="24" t="inlineStr">
        <is>
          <t>Propio (ente): Instituto Balear de la Energía (IBE)</t>
        </is>
      </c>
      <c r="G13" s="25" t="inlineStr">
        <is>
          <t>Consejería</t>
        </is>
      </c>
      <c r="H13" s="26" t="inlineStr">
        <is>
          <t>Sin verificar</t>
        </is>
      </c>
      <c r="I13" s="26" t="inlineStr">
        <is>
          <t>Sin verificar</t>
        </is>
      </c>
      <c r="J13" s="24" t="inlineStr">
        <is>
          <t>Propio (ente): Ente Regional de la Energía de Castilla y León (EREN)</t>
        </is>
      </c>
      <c r="K13" s="24" t="inlineStr">
        <is>
          <t>Propio (ente): Institut Català d'Energia (ICAEN)</t>
        </is>
      </c>
      <c r="L13" s="24" t="inlineStr">
        <is>
          <t>Propio (ente): IVACE+i (Instituto Valenciano de Competitividad e Innovación), área de Energía</t>
        </is>
      </c>
      <c r="M13" s="24" t="inlineStr">
        <is>
          <t>Propio (ente): Agencia Extremeña de la Energía (AGENEX), entidad pública empresarial</t>
        </is>
      </c>
      <c r="N13" s="24" t="inlineStr">
        <is>
          <t>Propio (ente): Instituto Enerxético de Galicia (INEGA)</t>
        </is>
      </c>
      <c r="O13" s="24" t="inlineStr">
        <is>
          <t>Propio (ente): Fundación de la Energía de la Comunidad de Madrid (FENERCOM)</t>
        </is>
      </c>
      <c r="P13" s="25" t="inlineStr">
        <is>
          <t>Consejería</t>
        </is>
      </c>
      <c r="Q13" s="25" t="inlineStr">
        <is>
          <t>Consejería</t>
        </is>
      </c>
      <c r="R13" s="24" t="inlineStr">
        <is>
          <t>Propio (ente): Ente Vasco de la Energía (EVE)</t>
        </is>
      </c>
      <c r="S13" s="25" t="inlineStr">
        <is>
          <t>Consejería</t>
        </is>
      </c>
      <c r="T13" s="20">
        <f>COUNTIF(C13:S13,"Propio*")</f>
        <v/>
      </c>
      <c r="U13" s="20">
        <f>COUNTIF(C13:S13,"Sin verificar")</f>
        <v/>
      </c>
      <c r="V13" s="20">
        <f>1+T13</f>
        <v/>
      </c>
      <c r="W13" s="20" t="inlineStr">
        <is>
          <t>Parcial: el IDAE actúa en todo el territorio, pero buena parte de sus líneas se ejecutan a través de las CCAA (consejería o agencia regional). Donde no hay agencia, la gestiona la consejería.</t>
        </is>
      </c>
      <c r="X13" s="20" t="inlineStr">
        <is>
          <t>Bases del régimen energético y planificación económica general: competencias estatales (art. 149.1.13ª y 25ª CE). A las CCAA corresponden el desarrollo normativo y la ejecución, incluida la gestión de ayudas de ahorro, eficiencia y renovables en su territorio.</t>
        </is>
      </c>
      <c r="Y13" s="20" t="inlineStr">
        <is>
          <t>https://www.cnmc.es/sites/default/files/energia/consumidores/201610_Enlaces%2520eficiencia%2520energ%C3%A9tica%5B1%5D.pdf
https://juntadeandalucia.es/boja/2003/189/1
https://www.boe.es/buscar/pdf/2019/BOE-A-2019-5579-consolidado.pdf
https://www.gobiernodecanarias.org/boc/2022/257/001.html
https://derecholocal.es/?p=13612
https://laadministracionaldia.inap.es/noticia.asp?id=1241987
https://www.boe.es/diario_boe/txt.php?id=BOE-A-2026-15131
https://laadministracionaldia.inap.es/noticia.asp?id=1111574
https://transparencia.carm.es/wres/transparencia/doc/Consejo_Gobierno/2018-06-14/punto_25_ENERAGEN.pdf
https://www.boe.es/buscar/act.php?id=BOE-A-2024-1778
https://www.boe.es/eli/es-ri/l/2022/11/02/13</t>
        </is>
      </c>
    </row>
    <row r="14">
      <c r="A14" s="20" t="inlineStr">
        <is>
          <t>Seguridad ferroviaria</t>
        </is>
      </c>
      <c r="B14" s="20" t="inlineStr">
        <is>
          <t>Agencia Estatal de Seguridad Ferroviaria (AESF)</t>
        </is>
      </c>
      <c r="C14" s="26" t="inlineStr">
        <is>
          <t>Sin verificar</t>
        </is>
      </c>
      <c r="D14" s="25" t="inlineStr">
        <is>
          <t>Lo cubre el Estado</t>
        </is>
      </c>
      <c r="E14" s="25" t="inlineStr">
        <is>
          <t>Lo cubre el Estado</t>
        </is>
      </c>
      <c r="F14" s="26" t="inlineStr">
        <is>
          <t>Sin verificar</t>
        </is>
      </c>
      <c r="G14" s="25" t="inlineStr">
        <is>
          <t>No existe</t>
        </is>
      </c>
      <c r="H14" s="25" t="inlineStr">
        <is>
          <t>Lo cubre el Estado</t>
        </is>
      </c>
      <c r="I14" s="25" t="inlineStr">
        <is>
          <t>Lo cubre el Estado</t>
        </is>
      </c>
      <c r="J14" s="25" t="inlineStr">
        <is>
          <t>Lo cubre el Estado</t>
        </is>
      </c>
      <c r="K14" s="25" t="inlineStr">
        <is>
          <t>Consejería</t>
        </is>
      </c>
      <c r="L14" s="24" t="inlineStr">
        <is>
          <t>Propio (ente): Agència Valenciana de Seguretat Ferroviària (AVSF)</t>
        </is>
      </c>
      <c r="M14" s="25" t="inlineStr">
        <is>
          <t>Lo cubre el Estado</t>
        </is>
      </c>
      <c r="N14" s="25" t="inlineStr">
        <is>
          <t>Lo cubre el Estado</t>
        </is>
      </c>
      <c r="O14" s="26" t="inlineStr">
        <is>
          <t>Sin verificar</t>
        </is>
      </c>
      <c r="P14" s="25" t="inlineStr">
        <is>
          <t>Lo cubre el Estado</t>
        </is>
      </c>
      <c r="Q14" s="25" t="inlineStr">
        <is>
          <t>Lo cubre el Estado</t>
        </is>
      </c>
      <c r="R14" s="25" t="inlineStr">
        <is>
          <t>No existe</t>
        </is>
      </c>
      <c r="S14" s="25" t="inlineStr">
        <is>
          <t>Lo cubre el Estado</t>
        </is>
      </c>
      <c r="T14" s="20">
        <f>COUNTIF(C14:S14,"Propio*")</f>
        <v/>
      </c>
      <c r="U14" s="20">
        <f>COUNTIF(C14:S14,"Sin verificar")</f>
        <v/>
      </c>
      <c r="V14" s="20">
        <f>1+T14</f>
        <v/>
      </c>
      <c r="W14" s="20" t="inlineStr">
        <is>
          <t>Parcial. La AESF cubre por ley toda la RFIG en las 17 CCAA. No cubre las redes autonómicas (FGC, FGV, Euskotren, SFM) ni metros y tranvías: su informe 2025 los excluye y en Madrid la propia AESF declara que no tiene competencia sobre Metro. No se ha encontrado ninguna encomienda o convenio por el que la AESF supervise una red autonómica. Extenderla requeriría un convenio o una encomienda con cada comunidad, o un cambio legal.</t>
        </is>
      </c>
      <c r="X14" s="20" t="inlineStr">
        <is>
          <t>Los ferrocarriles que discurren íntegramente por el territorio de una comunidad son de competencia autonómica (art. 148.1.5ª CE y estatutos). La RFIG y su seguridad son estatales (art. 149.1.21ª CE; Ley 38/2015, del Sector Ferroviario, con la AESF como autoridad de seguridad).</t>
        </is>
      </c>
      <c r="Y14" s="20" t="inlineStr">
        <is>
          <t>https://www.boe.es/eli/es/rd/2014/12/19/1072
https://www.era.europa.eu/sites/default/files/reports/ias%20nsa%20espa%C3%B1a%202025.pdf
https://www.boe.es/eli/es-vc/l/2018/03/26/7/con
https://www.boe.es/ccaa/dogv/2026/10425/r00001-00351.pdf
https://www.boe.es/ccaa/dogc/2026/9680/f00001-00004.pdf
https://www.euskadi.eus/contenidos/anuncio_tablon/con_3917055/es_def/adjuntos/Orden-consulta-publica-previa-LSF.pdf</t>
        </is>
      </c>
    </row>
    <row r="15">
      <c r="A15" s="20" t="inlineStr">
        <is>
          <t>Agencias de salud pública</t>
        </is>
      </c>
      <c r="B15" s="20" t="inlineStr">
        <is>
          <t>Agencia Estatal de Salud Pública (AESAP)</t>
        </is>
      </c>
      <c r="C15" s="25" t="inlineStr">
        <is>
          <t>Consejería</t>
        </is>
      </c>
      <c r="D15" s="25" t="inlineStr">
        <is>
          <t>Consejería</t>
        </is>
      </c>
      <c r="E15" s="25" t="inlineStr">
        <is>
          <t>Consejería</t>
        </is>
      </c>
      <c r="F15" s="24" t="inlineStr">
        <is>
          <t>Propio (ente): Agencia de Salud Pública de las Illes Balears (ASPIB)</t>
        </is>
      </c>
      <c r="G15" s="25" t="inlineStr">
        <is>
          <t>Consejería</t>
        </is>
      </c>
      <c r="H15" s="25" t="inlineStr">
        <is>
          <t>Consejería</t>
        </is>
      </c>
      <c r="I15" s="25" t="inlineStr">
        <is>
          <t>Consejería</t>
        </is>
      </c>
      <c r="J15" s="25" t="inlineStr">
        <is>
          <t>Consejería</t>
        </is>
      </c>
      <c r="K15" s="24" t="inlineStr">
        <is>
          <t>Propio (órgano): Agència de Salut Pública de Catalunya (ASPCAT), sin personalidad jurídica</t>
        </is>
      </c>
      <c r="L15" s="25" t="inlineStr">
        <is>
          <t>Consejería</t>
        </is>
      </c>
      <c r="M15" s="25" t="inlineStr">
        <is>
          <t>Consejería</t>
        </is>
      </c>
      <c r="N15" s="25" t="inlineStr">
        <is>
          <t>Consejería</t>
        </is>
      </c>
      <c r="O15" s="25" t="inlineStr">
        <is>
          <t>Consejería</t>
        </is>
      </c>
      <c r="P15" s="25" t="inlineStr">
        <is>
          <t>Consejería</t>
        </is>
      </c>
      <c r="Q15" s="24" t="inlineStr">
        <is>
          <t>Propio (ente): Instituto de Salud Pública y Laboral de Navarra (ISPLN)</t>
        </is>
      </c>
      <c r="R15" s="24" t="inlineStr">
        <is>
          <t>Propio (ente): Instituto Vasco de Salud Pública (Osasungintza)</t>
        </is>
      </c>
      <c r="S15" s="25" t="inlineStr">
        <is>
          <t>Consejería</t>
        </is>
      </c>
      <c r="T15" s="20">
        <f>COUNTIF(C15:S15,"Propio*")</f>
        <v/>
      </c>
      <c r="U15" s="20">
        <f>COUNTIF(C15:S15,"Sin verificar")</f>
        <v/>
      </c>
      <c r="V15" s="20">
        <f>1+T15</f>
        <v/>
      </c>
      <c r="W15" s="20" t="inlineStr">
        <is>
          <t>No. La AESAP no sustituye a las direcciones generales ni a las agencias autonómicas: la vigilancia y la intervención de salud pública siguen siendo autonómicas. Solo coordina e integra la información.</t>
        </is>
      </c>
      <c r="X15" s="20" t="inlineStr">
        <is>
          <t>Sanidad: bases y coordinación general son estatales (art. 149.1.16ª CE); la gestión de la salud pública es autonómica (estatutos; Ley 33/2011, General de Salud Pública). La AESAP es un órgano estatal de vigilancia, preparación y coordinación y no asume la ejecución autonómica.</t>
        </is>
      </c>
      <c r="Y15" s="20" t="inlineStr">
        <is>
          <t>https://www.boe.es/eli/es/l/2025/07/28/7
https://www.sanidad.gob.es/en/profesionales/saludPublica/saludAmbLaboral/calidadAguas/piscinas/pdf/CCAA_SILOE_R_ene21.pdf
https://www.boe.es/buscar/act.php?id=BOE-A-2011-2108
https://www.euskadi.eus/web01-bopv/es/bopv2/datos/2023/12/2305490a.shtml
https://govern.cat/govern/docs/2017/10/24/16/16/6bc122b4-de02-4974-9a53-0974dfdc3a37.pdf
https://aplicacions.economia.gencat.cat/wpres/2023/pdf/MP_SA14.pdf</t>
        </is>
      </c>
    </row>
    <row r="16">
      <c r="A16" s="20" t="inlineStr">
        <is>
          <t>Agencias de cooperación al desarrollo</t>
        </is>
      </c>
      <c r="B16" s="20" t="inlineStr">
        <is>
          <t>Agencia Española de Cooperación Internacional para el Desarrollo (AECID)</t>
        </is>
      </c>
      <c r="C16" s="24" t="inlineStr">
        <is>
          <t>Propio (ente): Agencia Andaluza de Cooperación Internacional para el Desarrollo (AACID)</t>
        </is>
      </c>
      <c r="D16" s="26" t="inlineStr">
        <is>
          <t>Sin verificar</t>
        </is>
      </c>
      <c r="E16" s="24" t="inlineStr">
        <is>
          <t>Propio (órgano): Agencia Asturiana de Cooperación al Desarrollo</t>
        </is>
      </c>
      <c r="F16" s="26" t="inlineStr">
        <is>
          <t>Sin verificar</t>
        </is>
      </c>
      <c r="G16" s="26" t="inlineStr">
        <is>
          <t>Sin verificar</t>
        </is>
      </c>
      <c r="H16" s="26" t="inlineStr">
        <is>
          <t>Sin verificar</t>
        </is>
      </c>
      <c r="I16" s="26" t="inlineStr">
        <is>
          <t>Sin verificar</t>
        </is>
      </c>
      <c r="J16" s="26" t="inlineStr">
        <is>
          <t>Sin verificar</t>
        </is>
      </c>
      <c r="K16" s="24" t="inlineStr">
        <is>
          <t>Propio (ente): Agència Catalana de Cooperació al Desenvolupament (ACCD)</t>
        </is>
      </c>
      <c r="L16" s="26" t="inlineStr">
        <is>
          <t>Sin verificar</t>
        </is>
      </c>
      <c r="M16" s="24" t="inlineStr">
        <is>
          <t>Propio (ente): Agencia Extremeña de Cooperación Internacional para el Desarrollo (AEXCID)</t>
        </is>
      </c>
      <c r="N16" s="26" t="inlineStr">
        <is>
          <t>Sin verificar</t>
        </is>
      </c>
      <c r="O16" s="26" t="inlineStr">
        <is>
          <t>Sin verificar</t>
        </is>
      </c>
      <c r="P16" s="26" t="inlineStr">
        <is>
          <t>Sin verificar</t>
        </is>
      </c>
      <c r="Q16" s="26" t="inlineStr">
        <is>
          <t>Sin verificar</t>
        </is>
      </c>
      <c r="R16" s="24" t="inlineStr">
        <is>
          <t>Propio (ente): Agencia Vasca de Cooperación para el Desarrollo (eLankidetza)</t>
        </is>
      </c>
      <c r="S16" s="26" t="inlineStr">
        <is>
          <t>Sin verificar</t>
        </is>
      </c>
      <c r="T16" s="20">
        <f>COUNTIF(C16:S16,"Propio*")</f>
        <v/>
      </c>
      <c r="U16" s="20">
        <f>COUNTIF(C16:S16,"Sin verificar")</f>
        <v/>
      </c>
      <c r="V16" s="20">
        <f>1+T16</f>
        <v/>
      </c>
      <c r="W16" s="20" t="inlineStr">
        <is>
          <t>No por defecto. Las CCAA gestionan su propia AOD. La AECID podría canalizar fondos autonómicos mediante convenio (hay convenios puntuales, p. ej. Murcia-AECID 2017 según el Consejo de Gobierno de la CARM), pero no hay cobertura general.</t>
        </is>
      </c>
      <c r="X16" s="20" t="inlineStr">
        <is>
          <t>La política de cooperación internacional del Estado deriva del art. 149.1.3ª CE. La Ley 1/2023, de Cooperación para el Desarrollo Sostenible y la Solidaridad Global, reconoce la cooperación descentralizada de CCAA y entes locales (cap. IV, sección 2ª), que estas financian y gestionan con fondos propios.</t>
        </is>
      </c>
      <c r="Y16" s="20" t="inlineStr">
        <is>
          <t>https://www.boe.es/eli/es/rd/2007/10/26/1403/con
https://www.juntadeandalucia.es/boja/2006/98/d2.pdf
https://euskadi.eus:443/bopv2/datos/2008/07/0804175a.pdf
https://doe.juntaex.es/pdfs/doe/2024/1420o/24062490.pdf
https://www.asturias.es/bopa/2026/06/15/2026-04797.pdf</t>
        </is>
      </c>
    </row>
    <row r="17">
      <c r="A17" s="20" t="inlineStr">
        <is>
          <t>Institutos de seguridad y salud laboral</t>
        </is>
      </c>
      <c r="B17" s="20" t="inlineStr">
        <is>
          <t>Instituto Nacional de Seguridad y Salud en el Trabajo (INSST, O.A., M.P.)</t>
        </is>
      </c>
      <c r="C17" s="24" t="inlineStr">
        <is>
          <t>Propio (ente): Instituto Andaluz de Prevención de Riesgos Laborales (IAPRL)</t>
        </is>
      </c>
      <c r="D17" s="24" t="inlineStr">
        <is>
          <t>Propio (órgano): Instituto Aragonés de Seguridad y Salud Laboral (ISSLA)</t>
        </is>
      </c>
      <c r="E17" s="24" t="inlineStr">
        <is>
          <t>Propio (ente): Instituto Asturiano de Prevención de Riesgos Laborales (IAPRL)</t>
        </is>
      </c>
      <c r="F17" s="24" t="inlineStr">
        <is>
          <t>Propio (ente): Instituto Balear de Seguridad y Salud Laboral (IBASSAL)</t>
        </is>
      </c>
      <c r="G17" s="24" t="inlineStr">
        <is>
          <t>Propio (ente): Instituto Canario de Seguridad Laboral (ICASEL)</t>
        </is>
      </c>
      <c r="H17" s="24" t="inlineStr">
        <is>
          <t>Propio (ente): Instituto Cántabro de Seguridad y Salud en el Trabajo (ICASST)</t>
        </is>
      </c>
      <c r="I17" s="25" t="inlineStr">
        <is>
          <t>Consejería</t>
        </is>
      </c>
      <c r="J17" s="25" t="inlineStr">
        <is>
          <t>Consejería</t>
        </is>
      </c>
      <c r="K17" s="25" t="inlineStr">
        <is>
          <t>Consejería</t>
        </is>
      </c>
      <c r="L17" s="24" t="inlineStr">
        <is>
          <t>Propio (ente): Instituto Valenciano de Seguridad y Salud en el Trabajo (INVASSAT)</t>
        </is>
      </c>
      <c r="M17" s="25" t="inlineStr">
        <is>
          <t>Consejería</t>
        </is>
      </c>
      <c r="N17" s="24" t="inlineStr">
        <is>
          <t>Propio (ente): Instituto de Seguridad y Salud Laboral de Galicia (ISSGA)</t>
        </is>
      </c>
      <c r="O17" s="24" t="inlineStr">
        <is>
          <t>Propio (ente): Instituto Regional de Seguridad y Salud en el Trabajo (IRSST)</t>
        </is>
      </c>
      <c r="P17" s="24" t="inlineStr">
        <is>
          <t>Propio (ente): Instituto de Seguridad y Salud Laboral de la Región de Murcia (ISSL)</t>
        </is>
      </c>
      <c r="Q17" s="24" t="inlineStr">
        <is>
          <t>Propio (ente): Instituto de Salud Pública y Laboral de Navarra (ISPLN)</t>
        </is>
      </c>
      <c r="R17" s="24" t="inlineStr">
        <is>
          <t>Propio (ente): Instituto Vasco de Seguridad y Salud Laborales (OSALAN)</t>
        </is>
      </c>
      <c r="S17" s="25" t="inlineStr">
        <is>
          <t>Consejería</t>
        </is>
      </c>
      <c r="T17" s="20">
        <f>COUNTIF(C17:S17,"Propio*")</f>
        <v/>
      </c>
      <c r="U17" s="20">
        <f>COUNTIF(C17:S17,"Sin verificar")</f>
        <v/>
      </c>
      <c r="V17" s="20">
        <f>1+T17</f>
        <v/>
      </c>
      <c r="W17" s="20" t="inlineStr">
        <is>
          <t>No. La ejecución está transferida a las 17 CCAA, que la ejercen con institutos propios o desde la consejería. El INSST no presta esos servicios en territorio autonómico; solo hace investigación, normalización y estudios estatales y coordina.</t>
        </is>
      </c>
      <c r="X17" s="20" t="inlineStr">
        <is>
          <t>Legislación laboral estatal; su ejecución corresponde a las CCAA (art. 149.1.7ª CE). La Ley 31/1995, de PRL, encarga al INSST el apoyo técnico y la colaboración con los órganos técnicos autonómicos, que ejercen el asesoramiento, la investigación de accidentes y el apoyo técnico a la ITSS en su territorio.</t>
        </is>
      </c>
      <c r="Y17" s="20" t="inlineStr">
        <is>
          <t>https://www.insst.es/el-instituto/conoce-el-instituto/mision-y-funciones
https://www.insst.es/relaciones-institucionales/ambito-autonomico/enlaces-organismos-ccaa-en-prl-con-estrategias-sst
https://juntadeandalucia.es/boja/2006/251/2
https://cdn.juntadeandalucia.es/boja/2020/4/BOJA20-004-00002-31-01_00167569.pdf
https://intranet.caib.es/eboibfront/pdf/es/2024/89/1166156
https://laadministracionaldia.inap.es/noticia.asp?id=1225149</t>
        </is>
      </c>
    </row>
    <row r="18">
      <c r="A18" s="20" t="inlineStr">
        <is>
          <t>Entes de emergencias 112</t>
        </is>
      </c>
      <c r="B18" s="20" t="inlineStr">
        <is>
          <t>Dirección General de Protección Civil y Emergencias (Ministerio del Interior)</t>
        </is>
      </c>
      <c r="C18" s="24" t="inlineStr">
        <is>
          <t>Propio (ente): Agencia de Emergencias de Andalucía (antes Agencia de Seguridad y Gestión Integral de Emergencias, ASGIE)</t>
        </is>
      </c>
      <c r="D18" s="26" t="inlineStr">
        <is>
          <t>Sin verificar</t>
        </is>
      </c>
      <c r="E18" s="24" t="inlineStr">
        <is>
          <t>Propio (ente): Servicio de Emergencias del Principado de Asturias (SEPA)</t>
        </is>
      </c>
      <c r="F18" s="24" t="inlineStr">
        <is>
          <t>Propio (ente): Gestió d'Emergències de les Illes Balears (GEIB), entidad pública empresarial</t>
        </is>
      </c>
      <c r="G18" s="24" t="inlineStr">
        <is>
          <t>Propio (ente): Gestión de Servicios para la Salud y Seguridad en Canarias (GSC), sociedad pública</t>
        </is>
      </c>
      <c r="H18" s="24" t="inlineStr">
        <is>
          <t>Propio (ente): Servicio de Emergencias de Cantabria (SEMCA), organismo autónomo</t>
        </is>
      </c>
      <c r="I18" s="26" t="inlineStr">
        <is>
          <t>Sin verificar</t>
        </is>
      </c>
      <c r="J18" s="25" t="inlineStr">
        <is>
          <t>Consejería</t>
        </is>
      </c>
      <c r="K18" s="24" t="inlineStr">
        <is>
          <t>Propio (ente): Centre d'Atenció i Gestió de Trucades d'Urgència 112 Catalunya (CAT112), entidad de derecho público</t>
        </is>
      </c>
      <c r="L18" s="24" t="inlineStr">
        <is>
          <t>Propio (ente): Agència Valenciana de Seguretat i Resposta a les Emergències (AVSRE), organismo autónomo</t>
        </is>
      </c>
      <c r="M18" s="26" t="inlineStr">
        <is>
          <t>Sin verificar</t>
        </is>
      </c>
      <c r="N18" s="24" t="inlineStr">
        <is>
          <t>Propio (ente): Axencia Galega de Emerxencias (AXEGA), agencia pública autonómica</t>
        </is>
      </c>
      <c r="O18" s="24" t="inlineStr">
        <is>
          <t>Propio (ente): Agencia de Seguridad y Emergencias Madrid 112 (ASEM112), ente de derecho público de régimen especial</t>
        </is>
      </c>
      <c r="P18" s="26" t="inlineStr">
        <is>
          <t>Sin verificar</t>
        </is>
      </c>
      <c r="Q18" s="25" t="inlineStr">
        <is>
          <t>Consejería</t>
        </is>
      </c>
      <c r="R18" s="26" t="inlineStr">
        <is>
          <t>Sin verificar</t>
        </is>
      </c>
      <c r="S18" s="26" t="inlineStr">
        <is>
          <t>Sin verificar</t>
        </is>
      </c>
      <c r="T18" s="20">
        <f>COUNTIF(C18:S18,"Propio*")</f>
        <v/>
      </c>
      <c r="U18" s="20">
        <f>COUNTIF(C18:S18,"Sin verificar")</f>
        <v/>
      </c>
      <c r="V18" s="20">
        <f>0+T18</f>
        <v/>
      </c>
      <c r="W18" s="20" t="inlineStr">
        <is>
          <t>No. El Estado no presta el 112 en ninguna comunidad: los 17 centros 112 son autonómicos. La duplicación es entre comunidades, en la forma de gestionar (ente o servicio), no con el Estado.</t>
        </is>
      </c>
      <c r="X18" s="20" t="inlineStr">
        <is>
          <t>Protección civil: competencia concurrente. Las CCAA prestan el servicio 112 y gestionan las emergencias de su ámbito (RD 903/1997; estatutos); el Estado gestiona las emergencias de interés nacional y coordina el sistema (Ley 17/2015, del Sistema Nacional de Protección Civil).</t>
        </is>
      </c>
      <c r="Y18" s="20" t="inlineStr">
        <is>
          <t>https://www.boe.es/eli/es/l/2015/07/09/17
https://laadministracionaldia.inap.es/noticia.asp?id=1246471
https://laadministracionaldia.inap.es/noticia.asp?id=1265294
https://laadministracionaldia.inap.es/noticia.asp?id=1250448
https://ficheiros-web.xunta.gal/cartas_de_servizo/aprobadas/emerxencias/Carta_Servizos_gal.pdf
https://intranet.caib.es/eboibfront/pdf/ca/2026/30/1214222
https://parcan.es/files/pub/bop/11l/2024/417/bo417.pdf
https://laadministracionaldia.inap.es/noticia.asp?id=1267282
https://laadministracionaldia.inap.es/noticia.asp?id=1267294</t>
        </is>
      </c>
    </row>
    <row r="19">
      <c r="A19" s="20" t="inlineStr">
        <is>
          <t>Observatorios de convivencia escolar</t>
        </is>
      </c>
      <c r="B19" s="20" t="inlineStr">
        <is>
          <t>Observatorio Estatal de la Convivencia Escolar</t>
        </is>
      </c>
      <c r="C19" s="24" t="inlineStr">
        <is>
          <t>Propio (órgano): Observatorio para la Convivencia Escolar en Andalucía</t>
        </is>
      </c>
      <c r="D19" s="24" t="inlineStr">
        <is>
          <t>Propio (órgano): Observatorio autonómico de convivencia escolar de Aragón (el informe no da el nombre exacto)</t>
        </is>
      </c>
      <c r="E19" s="24" t="inlineStr">
        <is>
          <t>Propio (órgano): Observatorio autonómico de convivencia escolar del Principado de Asturias (el informe no da el nombre exacto)</t>
        </is>
      </c>
      <c r="F19" s="24" t="inlineStr">
        <is>
          <t>Propio (órgano): Institut per a la Convivència i l'Èxit Escolar (Convivèxit)</t>
        </is>
      </c>
      <c r="G19" s="26" t="inlineStr">
        <is>
          <t>Sin verificar</t>
        </is>
      </c>
      <c r="H19" s="24" t="inlineStr">
        <is>
          <t>Propio (órgano): Observatorio autonómico de convivencia escolar de Cantabria (el informe no da el nombre exacto)</t>
        </is>
      </c>
      <c r="I19" s="24" t="inlineStr">
        <is>
          <t>Propio (órgano): Observatorio autonómico de convivencia escolar de Castilla-La Mancha (el informe no da el nombre exacto)</t>
        </is>
      </c>
      <c r="J19" s="24" t="inlineStr">
        <is>
          <t>Propio (órgano): Observatorio de la Comunidad de Castilla y León, sección de convivencia escolar</t>
        </is>
      </c>
      <c r="K19" s="26" t="inlineStr">
        <is>
          <t>Sin verificar</t>
        </is>
      </c>
      <c r="L19" s="24" t="inlineStr">
        <is>
          <t>Propio (órgano): Observatorio para la Convivencia Escolar (desde 2023, pleno conjunto «Observatorio Igualdad y Convivencia»)</t>
        </is>
      </c>
      <c r="M19" s="24" t="inlineStr">
        <is>
          <t>Propio (órgano): Observatorio para la Convivencia Escolar en Extremadura</t>
        </is>
      </c>
      <c r="N19" s="24" t="inlineStr">
        <is>
          <t>Propio (órgano): Consejo para la Convivencia Escolar de la Comunidad Autónoma de Galicia</t>
        </is>
      </c>
      <c r="O19" s="24" t="inlineStr">
        <is>
          <t>Propio (órgano): Observatorio autonómico de convivencia escolar de la Comunidad de Madrid (el informe no da el nombre exacto)</t>
        </is>
      </c>
      <c r="P19" s="24" t="inlineStr">
        <is>
          <t>Propio (órgano): Observatorio autonómico de convivencia escolar de la Región de Murcia (el informe no da el nombre exacto)</t>
        </is>
      </c>
      <c r="Q19" s="26" t="inlineStr">
        <is>
          <t>Sin verificar</t>
        </is>
      </c>
      <c r="R19" s="24" t="inlineStr">
        <is>
          <t>Propio (órgano): Observatorio autonómico de convivencia escolar del País Vasco (el informe no da el nombre exacto)</t>
        </is>
      </c>
      <c r="S19" s="24" t="inlineStr">
        <is>
          <t>Propio (órgano): Observatorio autonómico de convivencia escolar de La Rioja (el informe no da el nombre exacto)</t>
        </is>
      </c>
      <c r="T19" s="20">
        <f>COUNTIF(C19:S19,"Propio*")</f>
        <v/>
      </c>
      <c r="U19" s="20">
        <f>COUNTIF(C19:S19,"Sin verificar")</f>
        <v/>
      </c>
      <c r="V19" s="20">
        <f>1+T19</f>
        <v/>
      </c>
      <c r="W19" s="20" t="inlineStr">
        <is>
          <t>Parcial. El Observatorio Estatal (RD 275/2007, modificado por RD 3/2018) es un órgano colegiado consultivo de ámbito estatal: estudia, informa y propone. No gestiona la convivencia en los centros, que corresponde a las CCAA, y no hay convenios para que cubra a una CCAA sin observatorio propio.</t>
        </is>
      </c>
      <c r="X19" s="20" t="inlineStr">
        <is>
          <t>Educación: el Estado dicta las normas básicas (art. 149.1.30 CE, LOE/LOMLOE) y las CCAA las desarrollan, ejecutan y gestionan los centros. Cada administración educativa puede crear sus propios órganos de convivencia; ninguna ley lo obliga.</t>
        </is>
      </c>
      <c r="Y19" s="20" t="inlineStr">
        <is>
          <t>https://educacionfpydeportes.gob.es/dam/jcr:9b630aa5-b767-4739-848b-65a46bcebbf9/informe-convivencia-ccaa-v-mayo--2024.pdf
https://educacionfpydeportes.gob.es/ca/dam/jcr:6e1130b2-96f3-4008-b2ab-c6dbb76d473f/rd-observatorio-estatal-convivencia-escolar.pdf
https://vlex.es/vid/real-decreto-3-2018-700920453
https://sirdoc.ccyl.es/Biblioteca/Dosieres/DL203AtencionViolenciaGenero/pdfs/CyL-Decreto-52-2014-Observatorio.pdf
https://doe.juntaex.es/pdfs/doe/2026/1040o/26050065.pdf
https://www.caib.es/sites/convivexit/ca/normativa_autonamica/</t>
        </is>
      </c>
    </row>
    <row r="20">
      <c r="A20" s="20" t="inlineStr">
        <is>
          <t>Consejos de la juventud</t>
        </is>
      </c>
      <c r="B20" s="20" t="inlineStr">
        <is>
          <t>Consejo de la Juventud de España (CJE)</t>
        </is>
      </c>
      <c r="C20" s="24" t="inlineStr">
        <is>
          <t>Propio (órgano): Consejo de la Juventud de Andalucía</t>
        </is>
      </c>
      <c r="D20" s="24" t="inlineStr">
        <is>
          <t>Propio (ente): Consejo de la Juventud de Aragón</t>
        </is>
      </c>
      <c r="E20" s="24" t="inlineStr">
        <is>
          <t>Propio (ente): Consejo de la Juventud del Principado de Asturias (Conseyu de la Mocedá)</t>
        </is>
      </c>
      <c r="F20" s="26" t="inlineStr">
        <is>
          <t>Sin verificar</t>
        </is>
      </c>
      <c r="G20" s="26" t="inlineStr">
        <is>
          <t>Sin verificar</t>
        </is>
      </c>
      <c r="H20" s="24" t="inlineStr">
        <is>
          <t>Propio (ente): Consejo de la Juventud de Cantabria</t>
        </is>
      </c>
      <c r="I20" s="24" t="inlineStr">
        <is>
          <t>Propio (ente): Consejo de la Juventud de Castilla-La Mancha</t>
        </is>
      </c>
      <c r="J20" s="24" t="inlineStr">
        <is>
          <t>Propio (ente): Consejo de la Juventud de Castilla y León</t>
        </is>
      </c>
      <c r="K20" s="26" t="inlineStr">
        <is>
          <t>Sin verificar</t>
        </is>
      </c>
      <c r="L20" s="26" t="inlineStr">
        <is>
          <t>Sin verificar</t>
        </is>
      </c>
      <c r="M20" s="24" t="inlineStr">
        <is>
          <t>Propio (ente): Consejo de la Juventud de Extremadura</t>
        </is>
      </c>
      <c r="N20" s="24" t="inlineStr">
        <is>
          <t>Propio (órgano): Consejo Asesor y Consultivo de Juventud de Galicia</t>
        </is>
      </c>
      <c r="O20" s="24" t="inlineStr">
        <is>
          <t>Propio (órgano): Mesa de Políticas de Juventud de la Comunidad de Madrid (sustituye al Consejo de la Juventud, suprimido)</t>
        </is>
      </c>
      <c r="P20" s="26" t="inlineStr">
        <is>
          <t>Sin verificar</t>
        </is>
      </c>
      <c r="Q20" s="24" t="inlineStr">
        <is>
          <t>Propio (ente): Consejo de la Juventud de Navarra / Nafarroako Gazteriaren Kontseilua</t>
        </is>
      </c>
      <c r="R20" s="26" t="inlineStr">
        <is>
          <t>Sin verificar</t>
        </is>
      </c>
      <c r="S20" s="24" t="inlineStr">
        <is>
          <t>Propio (ente): Consejo de la Juventud de La Rioja</t>
        </is>
      </c>
      <c r="T20" s="20">
        <f>COUNTIF(C20:S20,"Propio*")</f>
        <v/>
      </c>
      <c r="U20" s="20">
        <f>COUNTIF(C20:S20,"Sin verificar")</f>
        <v/>
      </c>
      <c r="V20" s="20">
        <f>1+T20</f>
        <v/>
      </c>
      <c r="W20" s="20" t="inlineStr">
        <is>
          <t>No sustitutiva. El CJE es una plataforma estatal; tras la Ley 15/2014 (reforma CORA) dejó de ser organismo autónomo y es una entidad corporativa de base privada. Los consejos autonómicos forman parte de él o se coordinan con él, pero no representa a la juventud ante cada gobierno autonómico. No hay convenios de cobertura.</t>
        </is>
      </c>
      <c r="X20" s="20" t="inlineStr">
        <is>
          <t>Juventud: es una competencia exclusiva autonómica según los Estatutos. El art. 48 CE obliga a todos los poderes públicos a promover la participación de la juventud. Cada CCAA regula su consejo por ley propia; el CJE actúa en el ámbito estatal.</t>
        </is>
      </c>
      <c r="Y20" s="20" t="inlineStr">
        <is>
          <t>https://www.cje.org/en/entidades/
https://www.cje.org/en/faq/
https://www.boe.es/eli/es-cb/l/2019/02/14/1/con/20190225
https://www.boe.es/boe/dias/2005/05/20/pdfs/A16971-16975.pdf
https://boe.es/boe/dias/2025/03/20/pdfs/BOE-A-2025-5523.pdf
https://laadministracionaldia.inap.es/noticia.asp?id=1127756
https://laadministracionaldia.inap.es/noticia.asp?id=1235364
https://www.boe.es/boe/dias/1985/05/22/pdfs/A14960-14961.pdf
https://www.parcan.es/files/documentacion/dosieres/DOSS0102/DOSS0102DOC1424.PDF
https://tematico.asturias.es/hacienda/cuen2005/doc/5/4_1.pdf
https://www.juntadeandalucia.es/sites/default/files/2020-03/Proyecto%20de%20Ley%20de%20Juventud%20de%20Andaluc%C3%ADa.pdf
https://www.cje.org/download/295/consejos-de-juventud/23033/res-2016-autonomiacjandalucia.pdf</t>
        </is>
      </c>
    </row>
    <row r="21">
      <c r="A21" s="20" t="inlineStr">
        <is>
          <t>Observatorios de igualdad y violencia de género</t>
        </is>
      </c>
      <c r="B21" s="20" t="inlineStr">
        <is>
          <t>Observatorio Estatal de Violencia sobre la Mujer</t>
        </is>
      </c>
      <c r="C21" s="24" t="inlineStr">
        <is>
          <t>Propio (órgano): Observatorio Andaluz de la Violencia de Género</t>
        </is>
      </c>
      <c r="D21" s="24" t="inlineStr">
        <is>
          <t>Propio (órgano): Observatorio Aragonés de Violencia sobre la Mujer</t>
        </is>
      </c>
      <c r="E21" s="26" t="inlineStr">
        <is>
          <t>Sin verificar</t>
        </is>
      </c>
      <c r="F21" s="24" t="inlineStr">
        <is>
          <t>Propio (órgano): Observatori per a la Igualtat de les Illes Balears</t>
        </is>
      </c>
      <c r="G21" s="24" t="inlineStr">
        <is>
          <t>Propio (órgano): Observatorio de la Igualdad de Género (Instituto Canario de Igualdad)</t>
        </is>
      </c>
      <c r="H21" s="24" t="inlineStr">
        <is>
          <t>Propio (órgano): Observatorio de Igualdad de Género de Cantabria</t>
        </is>
      </c>
      <c r="I21" s="26" t="inlineStr">
        <is>
          <t>Sin verificar</t>
        </is>
      </c>
      <c r="J21" s="24" t="inlineStr">
        <is>
          <t>Propio (órgano): Observatorio de la Comunidad de Castilla y León, sección de género</t>
        </is>
      </c>
      <c r="K21" s="24" t="inlineStr">
        <is>
          <t>Propio (órgano): Observatori de la Igualtat de Gènere (OIG)</t>
        </is>
      </c>
      <c r="L21" s="26" t="inlineStr">
        <is>
          <t>Sin verificar</t>
        </is>
      </c>
      <c r="M21" s="26" t="inlineStr">
        <is>
          <t>Sin verificar</t>
        </is>
      </c>
      <c r="N21" s="24" t="inlineStr">
        <is>
          <t>Propio (órgano): Observatorio Galego da Violencia de Xénero</t>
        </is>
      </c>
      <c r="O21" s="24" t="inlineStr">
        <is>
          <t>Propio (órgano): Observatorio Regional de la Violencia de Género</t>
        </is>
      </c>
      <c r="P21" s="24" t="inlineStr">
        <is>
          <t>Propio (órgano): Observatorio de Igualdad de la Región de Murcia</t>
        </is>
      </c>
      <c r="Q21" s="26" t="inlineStr">
        <is>
          <t>Sin verificar</t>
        </is>
      </c>
      <c r="R21" s="26" t="inlineStr">
        <is>
          <t>Sin verificar</t>
        </is>
      </c>
      <c r="S21" s="26" t="inlineStr">
        <is>
          <t>Sin verificar</t>
        </is>
      </c>
      <c r="T21" s="20">
        <f>COUNTIF(C21:S21,"Propio*")</f>
        <v/>
      </c>
      <c r="U21" s="20">
        <f>COUNTIF(C21:S21,"Sin verificar")</f>
        <v/>
      </c>
      <c r="V21" s="20">
        <f>1+T21</f>
        <v/>
      </c>
      <c r="W21" s="20" t="inlineStr">
        <is>
          <t>Parcial. El OEVM (LO 1/2004, art. 30; RD 253/2006) es un órgano colegiado adscrito al Ministerio de Igualdad que elabora informes de ámbito estatal. No hay convenios para que sustituya a los observatorios autonómicos. Sin presupuesto propio: el gasto lo asume la DG contra la Violencia de Género (lote previo B1).</t>
        </is>
      </c>
      <c r="X21" s="20" t="inlineStr">
        <is>
          <t>Igualdad y violencia de género: el Estado fija el marco básico (LO 1/2004 y LO 3/2007; art. 149.1.1 CE) y las CCAA tienen competencias propias en políticas de mujer y asistencia social según sus Estatutos y leyes autonómicas. Cada CCAA puede crear sus órganos de seguimiento.</t>
        </is>
      </c>
      <c r="Y21" s="20" t="inlineStr">
        <is>
          <t>https://www.boe.es/eli/es/lo/2004/12/28/1
https://www.boe.es/eli/es/rd/2006/03/03/253/con/20220928
https://cdn.juntadeandalucia.es/boja/2010/116/d2.pdf
https://www.parcan.es/files/documentacion/dosieres/DOSS0244/DOSS0244DOC5684.PDF
https://www.caib.es/sites/participacio/es/n/observatori_per_a_la_igualtat/
https://vlex.es/vid/decreto-38-2015-27-563806338
https://sirdoc.ccyl.es/Biblioteca/Dosieres/DL203AtencionViolenciaGenero/pdfs/CyL-Decreto-52-2014-Observatorio.pdf
https://dones.gencat.cat/content/dam/dones/03_ambits/observatori/01_coneix_nos/activitats/Memoria-OIG-2025_edicio.pdf
https://www.lex.gal/es/normativa/detalle/3166/pdf/
https://www.bocm.es/boletin/CM_Orden_BOCM/2022/12/21/BOCM-20221221-47.PDF
https://borm.es/services/anuncio/782935/pdf
https://transparencia.carm.es/documents/184026/11587769/MAIN+Decreto+Observatorio+Igualdad.pdf/fb2f0a04-7b0e-47f6-a68f-6948b430238a
https://www.boe.es/eli/es-nc/lf/2019/04/04/17/con</t>
        </is>
      </c>
    </row>
    <row r="22">
      <c r="A22" s="20" t="inlineStr">
        <is>
          <t>Consejos audiovisuales (reguladores)</t>
        </is>
      </c>
      <c r="B22" s="20" t="inlineStr">
        <is>
          <t>Comisión Nacional de los Mercados y la Competencia (CNMC)</t>
        </is>
      </c>
      <c r="C22" s="24" t="inlineStr">
        <is>
          <t>Propio (ente): Consejo Audiovisual de Andalucía (CAA)</t>
        </is>
      </c>
      <c r="D22" s="26" t="inlineStr">
        <is>
          <t>Sin verificar</t>
        </is>
      </c>
      <c r="E22" s="26" t="inlineStr">
        <is>
          <t>Sin verificar</t>
        </is>
      </c>
      <c r="F22" s="26" t="inlineStr">
        <is>
          <t>Sin verificar</t>
        </is>
      </c>
      <c r="G22" s="26" t="inlineStr">
        <is>
          <t>Sin verificar</t>
        </is>
      </c>
      <c r="H22" s="26" t="inlineStr">
        <is>
          <t>Sin verificar</t>
        </is>
      </c>
      <c r="I22" s="26" t="inlineStr">
        <is>
          <t>Sin verificar</t>
        </is>
      </c>
      <c r="J22" s="26" t="inlineStr">
        <is>
          <t>Sin verificar</t>
        </is>
      </c>
      <c r="K22" s="24" t="inlineStr">
        <is>
          <t>Propio (ente): Consell de l'Audiovisual de Catalunya (CAC)</t>
        </is>
      </c>
      <c r="L22" s="24" t="inlineStr">
        <is>
          <t>Propio (ente): Consell de l'Audiovisual de la Comunitat Valenciana</t>
        </is>
      </c>
      <c r="M22" s="26" t="inlineStr">
        <is>
          <t>Sin verificar</t>
        </is>
      </c>
      <c r="N22" s="26" t="inlineStr">
        <is>
          <t>Sin verificar</t>
        </is>
      </c>
      <c r="O22" s="25" t="inlineStr">
        <is>
          <t>Consejería</t>
        </is>
      </c>
      <c r="P22" s="26" t="inlineStr">
        <is>
          <t>Sin verificar</t>
        </is>
      </c>
      <c r="Q22" s="25" t="inlineStr">
        <is>
          <t>Consejería</t>
        </is>
      </c>
      <c r="R22" s="26" t="inlineStr">
        <is>
          <t>Sin verificar</t>
        </is>
      </c>
      <c r="S22" s="26" t="inlineStr">
        <is>
          <t>Sin verificar</t>
        </is>
      </c>
      <c r="T22" s="20">
        <f>COUNTIF(C22:S22,"Propio*")</f>
        <v/>
      </c>
      <c r="U22" s="20">
        <f>COUNTIF(C22:S22,"Sin verificar")</f>
        <v/>
      </c>
      <c r="V22" s="20">
        <f>1+T22</f>
        <v/>
      </c>
      <c r="W22" s="20" t="inlineStr">
        <is>
          <t>No. La CNMC asumió la regulación audiovisual estatal en 2013 (Ley 3/2013) y supervisa a los prestadores de ámbito estatal. Los prestadores autonómicos y locales los supervisa la autoridad de cada CCAA, sea un consejo independiente o la propia consejería. No hay convenios para que la CNMC cubra a una CCAA.</t>
        </is>
      </c>
      <c r="X22" s="20" t="inlineStr">
        <is>
          <t>Audiovisual: el Estado fija las bases del régimen de radio y televisión (art. 149.1.27 CE; Ley 13/2022, General de Comunicación Audiovisual) y las CCAA las desarrollan y ejecutan. La supervisión se reparte según el ámbito de cobertura del prestador.</t>
        </is>
      </c>
      <c r="Y22" s="20" t="inlineStr">
        <is>
          <t>https://www.cnmc.es/en/ambitos-de-actuacion/audiovisual/actividad-internacional
https://www.rirm.org/en/caa-audiovisual-council-of-andalusia/
https://vlex.es/vid/decreto-121-2022-16-910713792
https://redopositor.com/oposiciones/convocatoria/resolucio-de-14-de-juliol-de-2026-de-la-presidencia-per-la-qual-es-pro--00d7ce64/
https://www.boe.es/eli/es-md/l/2001/04/18/2/con/20231229
https://parlamentodenavarra.es/sites/default/files/boletines/B2011821.pdf
https://www.boe.es/eli/es-ib/l/2010/12/22/15/con</t>
        </is>
      </c>
    </row>
    <row r="24" ht="45" customHeight="1" s="15">
      <c r="A24" s="20" t="inlineStr">
        <is>
          <t>Rojo: la comunidad tiene organismo propio sobre el tema. Verde: no lo tiene (lo cubre el Estado, lo hace la consejería o no existe). Gris: sin verificar. "Organismos en total" suma el estatal y los autonómicos verificados; el máximo posible es 18. Fuentes oficiales por celda en el dashboard y en los JSON de trabajo.</t>
        </is>
      </c>
    </row>
  </sheetData>
  <autoFilter ref="A1:Y22"/>
  <mergeCells count="1">
    <mergeCell ref="A24:J24"/>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S126"/>
  <sheetViews>
    <sheetView workbookViewId="0">
      <selection activeCell="A1" sqref="A1"/>
    </sheetView>
  </sheetViews>
  <sheetFormatPr baseColWidth="8" defaultColWidth="14.43" defaultRowHeight="15" customHeight="1"/>
  <cols>
    <col width="16" customWidth="1" style="15" min="74" max="74"/>
    <col width="16" customWidth="1" style="15" min="75" max="75"/>
    <col width="16" customWidth="1" style="15" min="76" max="76"/>
    <col width="16" customWidth="1" style="15" min="77" max="77"/>
    <col width="16" customWidth="1" style="15" min="78" max="78"/>
    <col width="16" customWidth="1" style="15" min="79" max="79"/>
    <col width="44" customWidth="1" style="15" min="80" max="80"/>
    <col width="44" customWidth="1" style="15" min="81" max="81"/>
    <col width="44" customWidth="1" style="15" min="82" max="82"/>
    <col width="16" customWidth="1" style="15" min="83" max="83"/>
    <col width="16" customWidth="1" style="15" min="84" max="84"/>
    <col width="16" customWidth="1" style="15" min="85" max="85"/>
    <col width="16" customWidth="1" style="15" min="86" max="86"/>
    <col width="16" customWidth="1" style="15" min="87" max="87"/>
    <col width="16" customWidth="1" style="15" min="88" max="88"/>
    <col width="16" customWidth="1" style="15" min="89" max="89"/>
    <col width="16" customWidth="1" style="15" min="90" max="90"/>
    <col width="16" customWidth="1" style="15" min="91" max="91"/>
    <col width="16" customWidth="1" style="15" min="92" max="92"/>
    <col width="16" customWidth="1" style="15" min="93" max="93"/>
    <col width="44" customWidth="1" style="15" min="94" max="94"/>
    <col width="44" customWidth="1" style="15" min="95" max="95"/>
    <col width="16" customWidth="1" style="15" min="96" max="96"/>
    <col width="44" customWidth="1" style="15" min="97" max="97"/>
  </cols>
  <sheetData>
    <row r="1">
      <c r="A1" s="9" t="inlineStr">
        <is>
          <t>ID</t>
        </is>
      </c>
      <c r="B1" s="9" t="inlineStr">
        <is>
          <t>Ámbito</t>
        </is>
      </c>
      <c r="C1" s="9" t="inlineStr">
        <is>
          <t>Comunidad autónoma</t>
        </is>
      </c>
      <c r="D1" s="9" t="inlineStr">
        <is>
          <t>Periodo presidencial</t>
        </is>
      </c>
      <c r="E1" s="9" t="inlineStr">
        <is>
          <t>Nombre</t>
        </is>
      </c>
      <c r="F1" s="9" t="inlineStr">
        <is>
          <t>Tipo de creación / transformación</t>
        </is>
      </c>
      <c r="G1" s="9" t="inlineStr">
        <is>
          <t>Fecha legal</t>
        </is>
      </c>
      <c r="H1" s="9" t="inlineStr">
        <is>
          <t>Norma fundacional</t>
        </is>
      </c>
      <c r="I1" s="9" t="inlineStr">
        <is>
          <t>Mandato en teoría</t>
        </is>
      </c>
      <c r="J1" s="9" t="inlineStr">
        <is>
          <t>Poder real: juicio basado en evidencia</t>
        </is>
      </c>
      <c r="K1" s="9" t="inlineStr">
        <is>
          <t>Presupuesto propio (EUR millones)</t>
        </is>
      </c>
      <c r="L1" s="9" t="inlineStr">
        <is>
          <t>Año del presupuesto</t>
        </is>
      </c>
      <c r="M1" s="9" t="inlineStr">
        <is>
          <t>Base del presupuesto numérico</t>
        </is>
      </c>
      <c r="N1" s="9" t="inlineStr">
        <is>
          <t>Corte del presupuesto numérico</t>
        </is>
      </c>
      <c r="O1" s="9" t="inlineStr">
        <is>
          <t>Estado de cuantificación</t>
        </is>
      </c>
      <c r="P1" s="9" t="inlineStr">
        <is>
          <t>Crédito inicial (EUR millones)</t>
        </is>
      </c>
      <c r="Q1" s="9" t="inlineStr">
        <is>
          <t>Modificación neta (EUR millones)</t>
        </is>
      </c>
      <c r="R1" s="9" t="inlineStr">
        <is>
          <t>Presupuesto: texto completo</t>
        </is>
      </c>
      <c r="S1" s="9" t="inlineStr">
        <is>
          <t>Corte: texto completo</t>
        </is>
      </c>
      <c r="T1" s="9" t="inlineStr">
        <is>
          <t>Estado legal y operativo</t>
        </is>
      </c>
      <c r="U1" s="9" t="inlineStr">
        <is>
          <t>Límites del juicio</t>
        </is>
      </c>
      <c r="V1" s="9" t="inlineStr">
        <is>
          <t>Duplicidades: clasificación (juicio)</t>
        </is>
      </c>
      <c r="W1" s="9" t="inlineStr">
        <is>
          <t>IDs relacionados</t>
        </is>
      </c>
      <c r="X1" s="9" t="inlineStr">
        <is>
          <t>Duplicidades: explicación y límite</t>
        </is>
      </c>
      <c r="Y1" s="9" t="inlineStr">
        <is>
          <t>Fuentes de duplicidad</t>
        </is>
      </c>
      <c r="Z1" s="9" t="inlineStr">
        <is>
          <t>Fuentes de la ficha</t>
        </is>
      </c>
      <c r="AA1" s="9" t="inlineStr">
        <is>
          <t>Importe contextual (EUR millones; NO sumar)</t>
        </is>
      </c>
      <c r="AB1" s="9" t="inlineStr">
        <is>
          <t>Año / periodo contextual</t>
        </is>
      </c>
      <c r="AC1" s="9" t="inlineStr">
        <is>
          <t>Base contextual</t>
        </is>
      </c>
      <c r="AD1" s="9" t="inlineStr">
        <is>
          <t>Nombre del titular del importe</t>
        </is>
      </c>
      <c r="AE1" s="9" t="inlineStr">
        <is>
          <t>URL del documento</t>
        </is>
      </c>
      <c r="AF1" s="9" t="inlineStr">
        <is>
          <t>Fecha de revisión</t>
        </is>
      </c>
      <c r="AG1" s="9" t="inlineStr">
        <is>
          <t>Personal: personas (ocupadas)</t>
        </is>
      </c>
      <c r="AH1" s="9" t="inlineStr">
        <is>
          <t>Año del personal</t>
        </is>
      </c>
      <c r="AI1" s="9" t="inlineStr">
        <is>
          <t>Base del personal</t>
        </is>
      </c>
      <c r="AJ1" s="9" t="inlineStr">
        <is>
          <t>Estado de verificación del personal</t>
        </is>
      </c>
      <c r="AK1" s="9" t="inlineStr">
        <is>
          <t>Fuente del personal</t>
        </is>
      </c>
      <c r="AL1" s="9" t="inlineStr">
        <is>
          <t>Crédito de personal (EUR millones)</t>
        </is>
      </c>
      <c r="AM1" s="9" t="inlineStr">
        <is>
          <t>Año del coste de personal</t>
        </is>
      </c>
      <c r="AN1" s="9" t="inlineStr">
        <is>
          <t>Base del coste de personal</t>
        </is>
      </c>
      <c r="AO1" s="9" t="inlineStr">
        <is>
          <t>Estado de verificación del coste</t>
        </is>
      </c>
      <c r="AP1" s="9" t="inlineStr">
        <is>
          <t>Fuente del coste</t>
        </is>
      </c>
      <c r="AQ1" s="9" t="inlineStr">
        <is>
          <t>Gasto de personal ejecutado (EUR millones)</t>
        </is>
      </c>
      <c r="AR1" s="9" t="inlineStr">
        <is>
          <t>Año del gasto de personal</t>
        </is>
      </c>
      <c r="AS1" s="9" t="inlineStr">
        <is>
          <t>Corte de ejecución de personal</t>
        </is>
      </c>
      <c r="AT1" s="9" t="inlineStr">
        <is>
          <t>Base de ejecución de personal</t>
        </is>
      </c>
      <c r="AU1" s="9" t="inlineStr">
        <is>
          <t>Fuente de ejecución de personal</t>
        </is>
      </c>
      <c r="AV1" s="9" t="inlineStr">
        <is>
          <t>Estado de verificación de ejecución</t>
        </is>
      </c>
      <c r="AW1" s="9" t="inlineStr">
        <is>
          <t>Cobertura presupuesto / personal / salarios</t>
        </is>
      </c>
      <c r="AX1" s="9" t="inlineStr">
        <is>
          <t>Puestos aprobados / presupuestados</t>
        </is>
      </c>
      <c r="AY1" s="9" t="inlineStr">
        <is>
          <t>Fecha puestos aprobados</t>
        </is>
      </c>
      <c r="AZ1" s="9" t="inlineStr">
        <is>
          <t>Base de puestos aprobados</t>
        </is>
      </c>
      <c r="BA1" s="9" t="inlineStr">
        <is>
          <t>Fuente puestos aprobados</t>
        </is>
      </c>
      <c r="BB1" s="9" t="inlineStr">
        <is>
          <t>Notas de personal y apoyo ministerial</t>
        </is>
      </c>
      <c r="BC1" s="9" t="inlineStr">
        <is>
          <t>Papel en leyes / reglamentos: verificación</t>
        </is>
      </c>
      <c r="BD1" s="9" t="inlineStr">
        <is>
          <t>Informe obligatorio (preceptivo): ámbito</t>
        </is>
      </c>
      <c r="BE1" s="9" t="inlineStr">
        <is>
          <t>Informe vinculante / consentimiento requerido</t>
        </is>
      </c>
      <c r="BF1" s="9" t="inlineStr">
        <is>
          <t>Bloqueo o demora: alcance y límite</t>
        </is>
      </c>
      <c r="BG1" s="9" t="inlineStr">
        <is>
          <t>Norma / artículo sobre consulta</t>
        </is>
      </c>
      <c r="BH1" s="9" t="inlineStr">
        <is>
          <t>Fuente legal de consulta normativa</t>
        </is>
      </c>
      <c r="BI1" s="9" t="inlineStr">
        <is>
          <t>Pagos de personal 2026 hasta 31/08 (EUR millones)</t>
        </is>
      </c>
      <c r="BJ1" s="9" t="inlineStr">
        <is>
          <t>Crédito personal comparativo2025, edición08.2026 (EUR millones)</t>
        </is>
      </c>
      <c r="BK1" s="9" t="inlineStr">
        <is>
          <t>Obligaciones personal comparativo2025, edición08.2026 (EUR millones)</t>
        </is>
      </c>
      <c r="BL1" s="9" t="inlineStr">
        <is>
          <t>Crédito personal inicial / otra base (EUR millones; NO sumar)</t>
        </is>
      </c>
      <c r="BM1" s="9" t="inlineStr">
        <is>
          <t>Base / fecha del crédito alternativo</t>
        </is>
      </c>
      <c r="BN1" s="9" t="inlineStr">
        <is>
          <t>Notas de conciliación de crédito y ejecución</t>
        </is>
      </c>
      <c r="BO1" s="9" t="inlineStr">
        <is>
          <t>Crédito personal 2025 cierre (EUR millones)</t>
        </is>
      </c>
      <c r="BP1" s="9" t="inlineStr">
        <is>
          <t>Gasto personal 2025 reconocido anual (EUR millones)</t>
        </is>
      </c>
      <c r="BQ1" s="9" t="inlineStr">
        <is>
          <t>Pagos personal 2025 anual (EUR millones)</t>
        </is>
      </c>
      <c r="BR1" s="9" t="inlineStr">
        <is>
          <t>Año y corte anual personal</t>
        </is>
      </c>
      <c r="BS1" s="9" t="inlineStr">
        <is>
          <t>Base anual de personal</t>
        </is>
      </c>
      <c r="BT1" s="9" t="inlineStr">
        <is>
          <t>Fuente anual de personal</t>
        </is>
      </c>
      <c r="BU1" s="9" t="inlineStr">
        <is>
          <t>Verificación anual / conciliación</t>
        </is>
      </c>
      <c r="BV1" s="9" t="inlineStr">
        <is>
          <t>Clasificación: útil / no útil</t>
        </is>
      </c>
      <c r="BW1" s="9" t="inlineStr">
        <is>
          <t>Clasificación: veredicto</t>
        </is>
      </c>
      <c r="BX1" s="9" t="inlineStr">
        <is>
          <t>Clasificación: función</t>
        </is>
      </c>
      <c r="BY1" s="9" t="inlineStr">
        <is>
          <t>Clasificación: duplicidad</t>
        </is>
      </c>
      <c r="BZ1" s="9" t="inlineStr">
        <is>
          <t>Clasificación: exigida por la UE</t>
        </is>
      </c>
      <c r="CA1" s="9" t="inlineStr">
        <is>
          <t>Clasificación: actividad reciente</t>
        </is>
      </c>
      <c r="CB1" s="9" t="inlineStr">
        <is>
          <t>Clasificación: motivo</t>
        </is>
      </c>
      <c r="CC1" s="9" t="inlineStr">
        <is>
          <t>Clasificación: base en el P100</t>
        </is>
      </c>
      <c r="CD1" s="9" t="inlineStr">
        <is>
          <t>Clasificación: destino de sus funciones</t>
        </is>
      </c>
      <c r="CE1" s="9" t="inlineStr">
        <is>
          <t>Tema funcional</t>
        </is>
      </c>
      <c r="CF1" s="9" t="inlineStr">
        <is>
          <t>Organismos del mismo tema (Estado + CCAA, verificados)</t>
        </is>
      </c>
      <c r="CG1" s="9" t="inlineStr">
        <is>
          <t>Coste de apoyo (sin presupuesto propio): unidad, vocales y dietas</t>
        </is>
      </c>
      <c r="CH1" s="9" t="inlineStr">
        <is>
          <t>Coste de personal por persona 2025 (EUR, calculado)</t>
        </is>
      </c>
      <c r="CI1" s="9" t="inlineStr">
        <is>
          <t>Desglose: personal técnico/científico/inspector</t>
        </is>
      </c>
      <c r="CJ1" s="9" t="inlineStr">
        <is>
          <t>Desglose: personal de administración y apoyo</t>
        </is>
      </c>
      <c r="CK1" s="9" t="inlineStr">
        <is>
          <t>Desglose: otro / no clasificable</t>
        </is>
      </c>
      <c r="CL1" s="9" t="inlineStr">
        <is>
          <t>Desglose: total de referencia</t>
        </is>
      </c>
      <c r="CM1" s="9" t="inlineStr">
        <is>
          <t>Puestos de libre designación</t>
        </is>
      </c>
      <c r="CN1" s="9" t="inlineStr">
        <is>
          <t>Altos cargos</t>
        </is>
      </c>
      <c r="CO1" s="9" t="inlineStr">
        <is>
          <t>Personal eventual (confianza)</t>
        </is>
      </c>
      <c r="CP1" s="9" t="inlineStr">
        <is>
          <t>Desglose: unidad y fecha</t>
        </is>
      </c>
      <c r="CQ1" s="9" t="inlineStr">
        <is>
          <t>Desglose: criterio de clasificación</t>
        </is>
      </c>
      <c r="CR1" s="9" t="inlineStr">
        <is>
          <t>Desglose: fuente</t>
        </is>
      </c>
      <c r="CS1" s="9" t="inlineStr">
        <is>
          <t>Desglose: verificación</t>
        </is>
      </c>
    </row>
    <row r="2">
      <c r="A2" s="10" t="n">
        <v>1</v>
      </c>
      <c r="B2" s="10" t="inlineStr">
        <is>
          <t>Estatal</t>
        </is>
      </c>
      <c r="C2" s="10" t="inlineStr">
        <is>
          <t>Estado</t>
        </is>
      </c>
      <c r="D2" s="10" t="inlineStr">
        <is>
          <t>Zapatero</t>
        </is>
      </c>
      <c r="E2" s="10" t="inlineStr">
        <is>
          <t>Agencia Estatal de Evaluación de las Políticas Públicas y la Calidad de los Servicios (AEVAL)</t>
        </is>
      </c>
      <c r="F2" s="10" t="inlineStr">
        <is>
          <t>Nueva agencia con absorción de unidades ministeriales</t>
        </is>
      </c>
      <c r="G2" s="10" t="inlineStr">
        <is>
          <t>2006-12-01</t>
        </is>
      </c>
      <c r="H2" s="10" t="inlineStr">
        <is>
          <t>RD 1418/2006</t>
        </is>
      </c>
      <c r="I2" s="10" t="inlineStr">
        <is>
          <t>Evaluar políticas públicas y mejorar la calidad de servicios; informes, evaluaciones y certificación de calidad.</t>
        </is>
      </c>
      <c r="J2" s="10" t="inlineStr">
        <is>
          <t>Juicio: función técnica real, no regulador con poder de sanción. Memoria 2009 acredita evaluaciones, plantilla técnica y ejecución de 5.601.938,42 EUR (93,98% del presupuesto definitivo).</t>
        </is>
      </c>
      <c r="K2" s="11" t="n"/>
      <c r="L2" s="10" t="n"/>
      <c r="M2" s="10" t="n"/>
      <c r="N2" s="10" t="n"/>
      <c r="O2" s="10" t="inlineStr">
        <is>
          <t>Sin presupuesto propio actual: supresión/extinción; no cuantificar sustituto</t>
        </is>
      </c>
      <c r="P2" s="12" t="n"/>
      <c r="Q2" s="12" t="n"/>
      <c r="R2" s="10" t="inlineStr">
        <is>
          <t>Sin presupuesto propio actual por supresión. El importe de 2009 es evidencia histórica de actividad, no presupuesto actual.</t>
        </is>
      </c>
      <c r="S2" s="10" t="inlineStr">
        <is>
          <t>31/08/2026, salvo indicación distinta</t>
        </is>
      </c>
      <c r="T2" s="10" t="inlineStr">
        <is>
          <t>Norma derogada y agencia suprimida con efectos 29/07/2017 por RD 769/2017; funciones reubicadas.</t>
        </is>
      </c>
      <c r="U2" s="10" t="inlineStr">
        <is>
          <t>El informe histórico no mide toda su vida ni la eficacia final de sus recomendaciones.</t>
        </is>
      </c>
      <c r="V2" s="10" t="inlineStr">
        <is>
          <t>Sucesión funcional histórica</t>
        </is>
      </c>
      <c r="W2" s="10" t="inlineStr">
        <is>
          <t>45</t>
        </is>
      </c>
      <c r="X2" s="10" t="inlineStr">
        <is>
          <t>AEVAL fue suprimida en 2017 y sus funciones reubicadas; la agencia de 2026 sucede al Instituto intermedio. No son dos presupuestos actuales de la misma agencia.</t>
        </is>
      </c>
      <c r="Y2" s="10" t="inlineStr">
        <is>
          <t>https://www.boe.es/buscar/act.php?id=BOE-A-2006-21902
https://www.boe.es/diario_boe/txt.php?id=BOE-A-2010-15779
https://www.boe.es/diario_boe/txt.php?id=BOE-A-2026-2553
https://www.boe.es/boe/dias/2026/05/12/pdfs/BOE-A-2026-10246.pdf</t>
        </is>
      </c>
      <c r="Z2" s="10" t="inlineStr">
        <is>
          <t>https://www.boe.es/buscar/act.php?id=BOE-A-2006-21902
https://www.boe.es/diario_boe/txt.php?id=BOE-A-2010-15779</t>
        </is>
      </c>
      <c r="AA2" s="12" t="n"/>
      <c r="AB2" s="10" t="n"/>
      <c r="AC2" s="10" t="n"/>
      <c r="AD2" s="10" t="n"/>
      <c r="AE2" s="13" t="inlineStr">
        <is>
          <t>https://files.instinct.com/q91pr53q4umo-entidades-publicas-poder-y-presupuesto</t>
        </is>
      </c>
      <c r="AF2" s="10" t="inlineStr">
        <is>
          <t>12/10/2026</t>
        </is>
      </c>
      <c r="AG2" s="10" t="n"/>
      <c r="AH2" s="10" t="n"/>
      <c r="AI2" s="10" t="inlineStr">
        <is>
          <t>Personas realmente ocupadas; no equiparar vocales, puestos RPT o apoyo ministerial con plantilla</t>
        </is>
      </c>
      <c r="AJ2" s="10" t="inlineStr">
        <is>
          <t>Pendiente: sin cifra de personal ocupado verificada en el conjunto actual</t>
        </is>
      </c>
      <c r="AK2" s="10" t="n"/>
      <c r="AL2" s="12" t="n"/>
      <c r="AM2" s="10" t="n"/>
      <c r="AN2" s="10" t="n"/>
      <c r="AO2" s="10" t="inlineStr">
        <is>
          <t>Pendiente: sin coste de personal individual verificado en el conjunto actual</t>
        </is>
      </c>
      <c r="AP2" s="10" t="n"/>
      <c r="AQ2" s="12" t="n"/>
      <c r="AR2" s="10" t="n"/>
      <c r="AS2" s="10" t="n"/>
      <c r="AT2" s="10" t="n"/>
      <c r="AU2" s="10" t="n"/>
      <c r="AV2" s="10" t="inlineStr">
        <is>
          <t>Pendiente: no se ha verificado gasto salarial ejecutado individual en esta versión</t>
        </is>
      </c>
      <c r="AW2" s="10" t="inlineStr">
        <is>
          <t>SIN CIFRA INDIVIDUAL VERIFICADA de presupuesto, personal ocupado y salarios ejecutados; investigación pendiente, no prueba de falta de publicación</t>
        </is>
      </c>
      <c r="AX2" s="14" t="n"/>
      <c r="AY2" s="14" t="n"/>
      <c r="AZ2" s="14" t="n"/>
      <c r="BA2" s="14" t="n"/>
      <c r="BB2" s="14" t="n"/>
      <c r="BC2" s="10" t="inlineStr">
        <is>
          <t>Revisado: AEVAL histórica</t>
        </is>
      </c>
      <c r="BD2" s="10" t="inlineStr">
        <is>
          <t>Evaluación de políticas, informes solicitados y contratos gestión. No informe previo general de leyes identificado.</t>
        </is>
      </c>
      <c r="BE2" s="10" t="inlineStr">
        <is>
          <t>No consentimiento favorable para leyes establecido en funciones revisadas.</t>
        </is>
      </c>
      <c r="BF2" s="10" t="inlineStr">
        <is>
          <t>No veto legislativo identificado en estas cláusulas; no pretende descartar obligaciones sectoriales en otras normas.</t>
        </is>
      </c>
      <c r="BG2" s="10" t="inlineStr">
        <is>
          <t>RD1418/2006 art6</t>
        </is>
      </c>
      <c r="BH2" s="10" t="inlineStr">
        <is>
          <t>https://www.boe.es/buscar/act.php?id=BOE-A-2006-21902</t>
        </is>
      </c>
      <c r="BI2" s="12" t="n"/>
      <c r="BJ2" s="12" t="n"/>
      <c r="BK2" s="12" t="n"/>
      <c r="BL2" s="12" t="n"/>
      <c r="BM2" s="10" t="n"/>
      <c r="BN2" s="10" t="n"/>
      <c r="BO2" s="12" t="n"/>
      <c r="BP2" s="12" t="n"/>
      <c r="BQ2" s="12" t="n"/>
      <c r="BR2" s="12" t="n"/>
      <c r="BS2" s="12" t="n"/>
      <c r="BT2" s="12" t="n"/>
      <c r="BU2" s="12" t="n"/>
      <c r="BV2" s="27" t="inlineStr">
        <is>
          <t>Extinguida</t>
        </is>
      </c>
      <c r="BW2" s="27" t="inlineStr">
        <is>
          <t>Extinguida</t>
        </is>
      </c>
      <c r="BX2" s="27" t="inlineStr">
        <is>
          <t>Extinguida o no constituida</t>
        </is>
      </c>
      <c r="BY2" s="27" t="inlineStr">
        <is>
          <t>3 organismos sobre este tema entre el Estado y las CCAA (verificados)</t>
        </is>
      </c>
      <c r="BZ2" s="27" t="inlineStr">
        <is>
          <t>No</t>
        </is>
      </c>
      <c r="CA2" s="27" t="inlineStr">
        <is>
          <t>No aplica (no vigente)</t>
        </is>
      </c>
      <c r="CB2" s="27" t="inlineStr">
        <is>
          <t>Suprimida en 2017 (RD 769/2017); funciones reubicadas y hoy en la Agencia Estatal de Evaluación (ID 45).</t>
        </is>
      </c>
      <c r="CC2" s="12" t="n"/>
      <c r="CD2" s="12" t="n"/>
      <c r="CE2" s="27" t="inlineStr">
        <is>
          <t>Evaluación de políticas públicas</t>
        </is>
      </c>
      <c r="CF2" s="28" t="n">
        <v>3</v>
      </c>
      <c r="CG2" s="12" t="n"/>
      <c r="CH2" s="29">
        <f>IF(AND(ISNUMBER(BP2),ISNUMBER(AG2),AG2&gt;0),BP2*1000000/AG2,"")</f>
        <v/>
      </c>
      <c r="CI2" s="12" t="n"/>
      <c r="CJ2" s="12" t="n"/>
      <c r="CK2" s="12" t="n"/>
      <c r="CL2" s="12" t="n"/>
      <c r="CM2" s="12" t="n"/>
      <c r="CN2" s="12" t="n"/>
      <c r="CO2" s="12" t="n"/>
      <c r="CP2" s="12" t="n"/>
      <c r="CQ2" s="12" t="n"/>
      <c r="CR2" s="12" t="n"/>
      <c r="CS2" s="12" t="n"/>
    </row>
    <row r="3">
      <c r="A3" s="10" t="n">
        <v>2</v>
      </c>
      <c r="B3" s="10" t="inlineStr">
        <is>
          <t>Estatal</t>
        </is>
      </c>
      <c r="C3" s="10" t="inlineStr">
        <is>
          <t>Estado</t>
        </is>
      </c>
      <c r="D3" s="10" t="inlineStr">
        <is>
          <t>Zapatero</t>
        </is>
      </c>
      <c r="E3" s="10" t="inlineStr">
        <is>
          <t>Agencia Estatal de Seguridad Aérea (AESA)</t>
        </is>
      </c>
      <c r="F3" s="10" t="inlineStr">
        <is>
          <t>Nueva entidad; hereda tareas de la Dirección General de Aviación Civil</t>
        </is>
      </c>
      <c r="G3" s="10" t="inlineStr">
        <is>
          <t>2008-02-08</t>
        </is>
      </c>
      <c r="H3" s="10" t="inlineStr">
        <is>
          <t>RD 184/2008</t>
        </is>
      </c>
      <c r="I3" s="10" t="inlineStr">
        <is>
          <t>Supervisión de seguridad de aviación civil; inspección, autorizaciones y potestades administrativas.</t>
        </is>
      </c>
      <c r="J3" s="10" t="inlineStr">
        <is>
          <t>Juicio: poder ejecutivo real, no observatorio decorativo. Las autorizaciones e inspecciones producen efectos sobre operadores.</t>
        </is>
      </c>
      <c r="K3" s="11" t="n">
        <v>89.455</v>
      </c>
      <c r="L3" s="10" t="n">
        <v>2026</v>
      </c>
      <c r="M3" s="10" t="inlineStr">
        <is>
          <t>Crédito total actualizado</t>
        </is>
      </c>
      <c r="N3" s="10" t="inlineStr">
        <is>
          <t>31/08/2026</t>
        </is>
      </c>
      <c r="O3" s="10" t="inlineStr">
        <is>
          <t>Cifra propia verificada</t>
        </is>
      </c>
      <c r="P3" s="12" t="n">
        <v>83.717</v>
      </c>
      <c r="Q3" s="12" t="n">
        <v>5.738</v>
      </c>
      <c r="R3" s="10" t="inlineStr">
        <is>
          <t>Presupuesto propio, crédito inicial 2026 83,717 M EUR; modificaciones netas +5,738 M; crédito total 89,455 M al 31/08/2026. IGAE p.99, cifras publicadas en miles de euros, no gasto ejecutado ni dotación solo administrativa.</t>
        </is>
      </c>
      <c r="S3" s="10" t="inlineStr">
        <is>
          <t>31/08/2026, salvo indicación distinta</t>
        </is>
      </c>
      <c r="T3" s="10" t="inlineStr">
        <is>
          <t>Vigente; estado operativo no exhaustivamente auditado</t>
        </is>
      </c>
      <c r="U3" s="10" t="inlineStr">
        <is>
          <t>No se ha verificado el número actual de puestos ocupados ni la independencia práctica de su dirección.</t>
        </is>
      </c>
      <c r="V3" s="10" t="inlineStr">
        <is>
          <t>No se ha identificado relación en esta revisión (no certifica ausencia)</t>
        </is>
      </c>
      <c r="W3" s="10" t="n"/>
      <c r="X3" s="10" t="inlineStr">
        <is>
          <t>Revisión cualitativa del mandato y estado de las 95 fichas; no auditoría exhaustiva de funciones ni proyectos.</t>
        </is>
      </c>
      <c r="Y3" s="10" t="n"/>
      <c r="Z3" s="10" t="inlineStr">
        <is>
          <t>https://www.boe.es/eli/es/rd/2008/02/08/184/con
https://www.igae.pap.hacienda.gob.es/sitios/igae/es-ES/Contabilidad/ContabilidadPublica/CPE/EjecucionPresupuestaria/Documents/ORGANISMOS%2008.%202026.pdf</t>
        </is>
      </c>
      <c r="AA3" s="12" t="n"/>
      <c r="AB3" s="10" t="n"/>
      <c r="AC3" s="10" t="n"/>
      <c r="AD3" s="10" t="n"/>
      <c r="AE3" s="13" t="inlineStr">
        <is>
          <t>https://files.instinct.com/q91pr53q4umo-entidades-publicas-poder-y-presupuesto</t>
        </is>
      </c>
      <c r="AF3" s="10" t="inlineStr">
        <is>
          <t>12/10/2026</t>
        </is>
      </c>
      <c r="AG3" s="10" t="n"/>
      <c r="AH3" s="10" t="n"/>
      <c r="AI3" s="10" t="inlineStr">
        <is>
          <t>Personas realmente ocupadas; no equiparar vocales, puestos RPT o apoyo ministerial con plantilla</t>
        </is>
      </c>
      <c r="AJ3" s="10" t="inlineStr">
        <is>
          <t>Pendiente: sin cifra de personal ocupado verificada en el conjunto actual</t>
        </is>
      </c>
      <c r="AK3" s="10" t="n"/>
      <c r="AL3" s="12" t="n">
        <v>23.308</v>
      </c>
      <c r="AM3" s="10" t="n">
        <v>2026</v>
      </c>
      <c r="AN3" s="10" t="inlineStr">
        <is>
          <t>Capítulo 1: crédito TOTAL actualizado IGAE, corte 31/08/2026</t>
        </is>
      </c>
      <c r="AO3" s="10" t="inlineStr">
        <is>
          <t>Crédito autorizado, no gasto realizado ni solo salarios</t>
        </is>
      </c>
      <c r="AP3" s="10" t="inlineStr">
        <is>
          <t>https://www.igae.pap.hacienda.gob.es/sitios/igae/es-ES/Contabilidad/ContabilidadPublica/CPE/EjecucionPresupuestaria/Documents/ORGANISMOS%2008.%202026.pdf</t>
        </is>
      </c>
      <c r="AQ3" s="12" t="n">
        <v>13.226</v>
      </c>
      <c r="AR3" s="10" t="n">
        <v>2026</v>
      </c>
      <c r="AS3" s="10" t="inlineStr">
        <is>
          <t>Hasta 31/08/2026:8 meses, NO año completo</t>
        </is>
      </c>
      <c r="AT3" s="10" t="inlineStr">
        <is>
          <t>Capítulo 1: obligaciones reconocidas; incluye costes de personal, no desglose salarial puro</t>
        </is>
      </c>
      <c r="AU3" s="10" t="inlineStr">
        <is>
          <t>https://www.igae.pap.hacienda.gob.es/sitios/igae/es-ES/Contabilidad/ContabilidadPublica/CPE/EjecucionPresupuestaria/Documents/ORGANISMOS%2008.%202026.pdf</t>
        </is>
      </c>
      <c r="AV3" s="10" t="inlineStr">
        <is>
          <t>Fuente primaria cotejada contra fila y unidad milesEUR; no estimación</t>
        </is>
      </c>
      <c r="AW3" s="10" t="inlineStr">
        <is>
          <t>Crédito y gasto de personal individual verificados; plantilla ocupada solo si hay cifra y fecha independiente</t>
        </is>
      </c>
      <c r="AX3" s="14" t="n"/>
      <c r="AY3" s="14" t="n"/>
      <c r="AZ3" s="14" t="n"/>
      <c r="BA3" s="14" t="n"/>
      <c r="BB3" s="14" t="n"/>
      <c r="BC3" s="10" t="inlineStr">
        <is>
          <t>Revisado: AESA: iniciativa normativa y asistencia técnica</t>
        </is>
      </c>
      <c r="BD3" s="10" t="inlineStr">
        <is>
          <t>Propone normas en su ámbito. Los informes urbanísticos vinculantes que aparecen en la modificación de estructura ministerial son de DGAC, no atribución propia de AESA.</t>
        </is>
      </c>
      <c r="BE3" s="10" t="inlineStr">
        <is>
          <t>No consentimiento favorable ni veto legislativo establecido en las cláusulas revisadas.</t>
        </is>
      </c>
      <c r="BF3" s="10" t="inlineStr">
        <is>
          <t>Revisión limitada a las atribuciones citadas: no descarta trámites sectoriales en otras normas.</t>
        </is>
      </c>
      <c r="BG3" s="10" t="inlineStr">
        <is>
          <t>RD184/2008 art9.1k y9.2; modificaciónDGAC</t>
        </is>
      </c>
      <c r="BH3" s="10" t="inlineStr">
        <is>
          <t>https://www.boe.es/buscar/act.php?id=BOE-A-2008-2595</t>
        </is>
      </c>
      <c r="BI3" s="12" t="n">
        <v>13.226</v>
      </c>
      <c r="BJ3" s="12" t="n">
        <v>23.308</v>
      </c>
      <c r="BK3" s="12" t="n">
        <v>12.718</v>
      </c>
      <c r="BL3" s="12" t="n"/>
      <c r="BM3" s="10" t="n"/>
      <c r="BN3" s="10" t="inlineStr">
        <is>
          <t>IGAE: columnas 2026 crédito / obligaciones / pagos;2025 crédito y obligaciones al mismo 31/08. No comparar 8 meses con año completo. Capítulo 1 no equivale solo a sueldos. PlantillaRPT del lote no incorporada sin verificación adicional.</t>
        </is>
      </c>
      <c r="BO3" s="12" t="n">
        <v>23.308</v>
      </c>
      <c r="BP3" s="12" t="n">
        <v>20.143</v>
      </c>
      <c r="BQ3" s="12" t="n">
        <v>20.143</v>
      </c>
      <c r="BR3" s="12" t="inlineStr">
        <is>
          <t>2025: hasta31/12/2025, año completo</t>
        </is>
      </c>
      <c r="BS3" s="12" t="inlineStr">
        <is>
          <t>Capítulo1: gastos de personal; obligaciones reconocidas, no solo salarios</t>
        </is>
      </c>
      <c r="BT3" s="12" t="inlineStr">
        <is>
          <t>https://www.igae.pap.hacienda.gob.es/sitios/igae/es-ES/Contabilidad/ContabilidadPublica/CPE/EjecucionPresupuestaria/Documents/ORGANISMOS%2012.%202025.pdf</t>
        </is>
      </c>
      <c r="BU3" s="12" t="inlineStr">
        <is>
          <t>Fuente primaria cotejada: IGAE edición12.2025, tabla y unidad milesEUR. No confundir con comparativa2025 de edición08.2026.</t>
        </is>
      </c>
      <c r="BV3" s="27" t="inlineStr">
        <is>
          <t>Útil</t>
        </is>
      </c>
      <c r="BW3" s="27" t="inlineStr">
        <is>
          <t>Mantener</t>
        </is>
      </c>
      <c r="BX3" s="27" t="inlineStr">
        <is>
          <t>Regulación o inspección de terceros</t>
        </is>
      </c>
      <c r="BY3" s="12" t="n"/>
      <c r="BZ3" s="27" t="inlineStr">
        <is>
          <t>Sí: el Reglamento (UE) 2018/1139 exige una autoridad nacional de aviación civil</t>
        </is>
      </c>
      <c r="CA3" s="27" t="inlineStr">
        <is>
          <t>Acreditada</t>
        </is>
      </c>
      <c r="CB3" s="27" t="inlineStr">
        <is>
          <t>Certifica e inspecciona la aviación civil; nadie más lo hace.</t>
        </is>
      </c>
      <c r="CC3" s="27" t="inlineStr">
        <is>
          <t>Aplicando el criterio del P100: Costes del Estado 9 (función técnica; exigida por la UE)</t>
        </is>
      </c>
      <c r="CD3" s="12" t="n"/>
      <c r="CE3" s="27" t="inlineStr">
        <is>
          <t>Seguridad aérea</t>
        </is>
      </c>
      <c r="CF3" s="12" t="n"/>
      <c r="CG3" s="12" t="n"/>
      <c r="CH3" s="29">
        <f>IF(AND(ISNUMBER(BP3),ISNUMBER(AG3),AG3&gt;0),BP3*1000000/AG3,"")</f>
        <v/>
      </c>
      <c r="CI3" s="12" t="n"/>
      <c r="CJ3" s="12" t="n"/>
      <c r="CK3" s="12" t="n"/>
      <c r="CL3" s="12" t="n"/>
      <c r="CM3" s="12" t="n"/>
      <c r="CN3" s="12" t="n"/>
      <c r="CO3" s="12" t="n"/>
      <c r="CP3" s="12" t="n"/>
      <c r="CQ3" s="12" t="n"/>
      <c r="CR3" s="12" t="n"/>
      <c r="CS3" s="12" t="n"/>
    </row>
    <row r="4">
      <c r="A4" s="10" t="n">
        <v>3</v>
      </c>
      <c r="B4" s="10" t="inlineStr">
        <is>
          <t>Estatal</t>
        </is>
      </c>
      <c r="C4" s="10" t="inlineStr">
        <is>
          <t>Estado</t>
        </is>
      </c>
      <c r="D4" s="10" t="inlineStr">
        <is>
          <t>Zapatero</t>
        </is>
      </c>
      <c r="E4" s="10" t="inlineStr">
        <is>
          <t>Agencia Estatal Antidopaje (AEA), hoy CELAD</t>
        </is>
      </c>
      <c r="F4" s="10" t="inlineStr">
        <is>
          <t>Nueva agencia; posterior ampliación/renombramiento</t>
        </is>
      </c>
      <c r="G4" s="10" t="inlineStr">
        <is>
          <t>2008-02-08</t>
        </is>
      </c>
      <c r="H4" s="10" t="inlineStr">
        <is>
          <t>RD 185/2008; antecedente habilitante LO 7/2006</t>
        </is>
      </c>
      <c r="I4" s="10" t="inlineStr">
        <is>
          <t>Controles antidopaje, prevención e investigación; competencias actuales de control y sanción sujetas a legislación antidopaje posterior.</t>
        </is>
      </c>
      <c r="J4" s="10" t="inlineStr">
        <is>
          <t>Juicio: poder administrativo real; no contar AEPSAD (2013) y CELAD como creaciones independientes desde cero.</t>
        </is>
      </c>
      <c r="K4" s="11" t="n">
        <v>8.212999999999999</v>
      </c>
      <c r="L4" s="10" t="n">
        <v>2026</v>
      </c>
      <c r="M4" s="10" t="inlineStr">
        <is>
          <t>Crédito total actualizado</t>
        </is>
      </c>
      <c r="N4" s="10" t="inlineStr">
        <is>
          <t>31/08/2026</t>
        </is>
      </c>
      <c r="O4" s="10" t="inlineStr">
        <is>
          <t>Cifra propia verificada</t>
        </is>
      </c>
      <c r="P4" s="12" t="n">
        <v>6.644</v>
      </c>
      <c r="Q4" s="12" t="n">
        <v>1.569</v>
      </c>
      <c r="R4" s="10" t="inlineStr">
        <is>
          <t>Presupuesto propio, crédito inicial 2026 6,644 M EUR; modificaciones netas +1,569 M; crédito total 8,213 M al 31/08/2026. IGAE p.99, cifras publicadas en miles de euros, no gasto ejecutado ni dotación solo administrativa.</t>
        </is>
      </c>
      <c r="S4" s="10" t="inlineStr">
        <is>
          <t>31/08/2026, salvo indicación distinta</t>
        </is>
      </c>
      <c r="T4" s="10" t="inlineStr">
        <is>
          <t>Continuidad institucional bajo denominaciones AEA, AEPSAD y CELAD.</t>
        </is>
      </c>
      <c r="U4" s="10" t="inlineStr">
        <is>
          <t>El estatuto de 2008 no basta para atribuir todas las potestades sancionadoras actuales; no se audita aquí su ejercicio.</t>
        </is>
      </c>
      <c r="V4" s="10" t="inlineStr">
        <is>
          <t>No se ha identificado relación en esta revisión (no certifica ausencia)</t>
        </is>
      </c>
      <c r="W4" s="10" t="n"/>
      <c r="X4" s="10" t="inlineStr">
        <is>
          <t>Revisión cualitativa del mandato y estado de las 95 fichas; no auditoría exhaustiva de funciones ni proyectos.</t>
        </is>
      </c>
      <c r="Y4" s="10" t="n"/>
      <c r="Z4" s="10" t="inlineStr">
        <is>
          <t>https://www.boe.es/eli/es/rd/2008/02/08/185
https://www.igae.pap.hacienda.gob.es/sitios/igae/es-ES/Contabilidad/ContabilidadPublica/CPE/EjecucionPresupuestaria/Documents/ORGANISMOS%2008.%202026.pdf
https://www.boe.es/diario_boe/txt.php?id=BOE-A-2013-6732</t>
        </is>
      </c>
      <c r="AA4" s="12" t="n"/>
      <c r="AB4" s="10" t="n"/>
      <c r="AC4" s="10" t="n"/>
      <c r="AD4" s="10" t="n"/>
      <c r="AE4" s="13" t="inlineStr">
        <is>
          <t>https://files.instinct.com/q91pr53q4umo-entidades-publicas-poder-y-presupuesto</t>
        </is>
      </c>
      <c r="AF4" s="10" t="inlineStr">
        <is>
          <t>12/10/2026</t>
        </is>
      </c>
      <c r="AG4" s="10" t="n"/>
      <c r="AH4" s="10" t="n"/>
      <c r="AI4" s="10" t="inlineStr">
        <is>
          <t>Personas realmente ocupadas; no equiparar vocales, puestos RPT o apoyo ministerial con plantilla</t>
        </is>
      </c>
      <c r="AJ4" s="10" t="inlineStr">
        <is>
          <t>Pendiente: sin cifra de personal ocupado verificada en el conjunto actual</t>
        </is>
      </c>
      <c r="AK4" s="10" t="n"/>
      <c r="AL4" s="12" t="n">
        <v>1.889</v>
      </c>
      <c r="AM4" s="10" t="n">
        <v>2026</v>
      </c>
      <c r="AN4" s="10" t="inlineStr">
        <is>
          <t>Capítulo 1: crédito TOTAL actualizado IGAE, corte 31/08/2026</t>
        </is>
      </c>
      <c r="AO4" s="10" t="inlineStr">
        <is>
          <t>Crédito autorizado, no gasto realizado ni solo salarios</t>
        </is>
      </c>
      <c r="AP4" s="10" t="inlineStr">
        <is>
          <t>https://www.igae.pap.hacienda.gob.es/sitios/igae/es-ES/Contabilidad/ContabilidadPublica/CPE/EjecucionPresupuestaria/Documents/ORGANISMOS%2008.%202026.pdf</t>
        </is>
      </c>
      <c r="AQ4" s="12" t="n">
        <v>1.12</v>
      </c>
      <c r="AR4" s="10" t="n">
        <v>2026</v>
      </c>
      <c r="AS4" s="10" t="inlineStr">
        <is>
          <t>Hasta 31/08/2026:8 meses, NO año completo</t>
        </is>
      </c>
      <c r="AT4" s="10" t="inlineStr">
        <is>
          <t>Capítulo 1: obligaciones reconocidas; incluye costes de personal, no desglose salarial puro</t>
        </is>
      </c>
      <c r="AU4" s="10" t="inlineStr">
        <is>
          <t>https://www.igae.pap.hacienda.gob.es/sitios/igae/es-ES/Contabilidad/ContabilidadPublica/CPE/EjecucionPresupuestaria/Documents/ORGANISMOS%2008.%202026.pdf</t>
        </is>
      </c>
      <c r="AV4" s="10" t="inlineStr">
        <is>
          <t>Fuente primaria cotejada contra fila y unidad milesEUR; no estimación</t>
        </is>
      </c>
      <c r="AW4" s="10" t="inlineStr">
        <is>
          <t>Crédito y gasto de personal individual verificados; plantilla ocupada solo si hay cifra y fecha independiente</t>
        </is>
      </c>
      <c r="AX4" s="14" t="n"/>
      <c r="AY4" s="14" t="n"/>
      <c r="AZ4" s="14" t="n"/>
      <c r="BA4" s="14" t="n"/>
      <c r="BB4" s="14" t="n"/>
      <c r="BC4" s="10" t="inlineStr">
        <is>
          <t>Revisado: CELAD actual + AEA histórica</t>
        </is>
      </c>
      <c r="BD4" s="10" t="inlineStr">
        <is>
          <t>Sí: proyectos normativos AGE sobre dopaje y convenios internacionales. CCAA: a solicitud.</t>
        </is>
      </c>
      <c r="BE4" s="10" t="inlineStr">
        <is>
          <t>No se exige consentimiento favorable ni carácter vinculante del informe en la cláusula citada; no es veto.</t>
        </is>
      </c>
      <c r="BF4" s="10" t="inlineStr">
        <is>
          <t>Trámite previo en ámbito específico. Omitirlo puede generar cuestión procedimental, no veto parlamentario automático; efecto exacto requiere analizar procedimiento.</t>
        </is>
      </c>
      <c r="BG4" s="10" t="inlineStr">
        <is>
          <t>RD908/2022 art7.1ñ; RD185/2008 art5e</t>
        </is>
      </c>
      <c r="BH4" s="10" t="inlineStr">
        <is>
          <t>https://www.boe.es/buscar/doc.php?id=BOE-A-2022-17477</t>
        </is>
      </c>
      <c r="BI4" s="12" t="n">
        <v>1.12</v>
      </c>
      <c r="BJ4" s="12" t="n">
        <v>1.889</v>
      </c>
      <c r="BK4" s="12" t="n">
        <v>0.869</v>
      </c>
      <c r="BL4" s="12" t="n"/>
      <c r="BM4" s="10" t="n"/>
      <c r="BN4" s="10" t="inlineStr">
        <is>
          <t>IGAE: columnas 2026 crédito / obligaciones / pagos;2025 crédito y obligaciones al mismo 31/08. No comparar 8 meses con año completo. Capítulo 1 no equivale solo a sueldos. PlantillaRPT del lote no incorporada sin verificación adicional.</t>
        </is>
      </c>
      <c r="BO4" s="12" t="n">
        <v>1.889</v>
      </c>
      <c r="BP4" s="12" t="n">
        <v>1.475</v>
      </c>
      <c r="BQ4" s="12" t="n">
        <v>1.475</v>
      </c>
      <c r="BR4" s="12" t="inlineStr">
        <is>
          <t>2025: hasta31/12/2025, año completo</t>
        </is>
      </c>
      <c r="BS4" s="12" t="inlineStr">
        <is>
          <t>Capítulo1: gastos de personal; obligaciones reconocidas, no solo salarios</t>
        </is>
      </c>
      <c r="BT4" s="12" t="inlineStr">
        <is>
          <t>https://www.igae.pap.hacienda.gob.es/sitios/igae/es-ES/Contabilidad/ContabilidadPublica/CPE/EjecucionPresupuestaria/Documents/ORGANISMOS%2012.%202025.pdf</t>
        </is>
      </c>
      <c r="BU4" s="12" t="inlineStr">
        <is>
          <t>Fuente primaria cotejada: IGAE edición12.2025, tabla y unidad milesEUR. No confundir con comparativa2025 de edición08.2026.</t>
        </is>
      </c>
      <c r="BV4" s="27" t="inlineStr">
        <is>
          <t>Útil</t>
        </is>
      </c>
      <c r="BW4" s="27" t="inlineStr">
        <is>
          <t>Mantener</t>
        </is>
      </c>
      <c r="BX4" s="27" t="inlineStr">
        <is>
          <t>Regulación o inspección de terceros</t>
        </is>
      </c>
      <c r="BY4" s="12" t="n"/>
      <c r="BZ4" s="27" t="inlineStr">
        <is>
          <t>No</t>
        </is>
      </c>
      <c r="CA4" s="27" t="inlineStr">
        <is>
          <t>Acreditada</t>
        </is>
      </c>
      <c r="CB4" s="27" t="inlineStr">
        <is>
          <t>Hace los controles antidopaje con la independencia que exige el código mundial.</t>
        </is>
      </c>
      <c r="CC4" s="27" t="inlineStr">
        <is>
          <t>Aplicando el criterio del P100: Costes del Estado 9 (independencia exigida por el Código Mundial Antidopaje)</t>
        </is>
      </c>
      <c r="CD4" s="12" t="n"/>
      <c r="CE4" s="27" t="inlineStr">
        <is>
          <t>Antidopaje</t>
        </is>
      </c>
      <c r="CF4" s="12" t="n"/>
      <c r="CG4" s="12" t="n"/>
      <c r="CH4" s="29">
        <f>IF(AND(ISNUMBER(BP4),ISNUMBER(AG4),AG4&gt;0),BP4*1000000/AG4,"")</f>
        <v/>
      </c>
      <c r="CI4" s="12" t="n"/>
      <c r="CJ4" s="12" t="n"/>
      <c r="CK4" s="12" t="n"/>
      <c r="CL4" s="12" t="n"/>
      <c r="CM4" s="12" t="n"/>
      <c r="CN4" s="12" t="n"/>
      <c r="CO4" s="12" t="n"/>
      <c r="CP4" s="12" t="n"/>
      <c r="CQ4" s="12" t="n"/>
      <c r="CR4" s="12" t="n"/>
      <c r="CS4" s="12" t="n"/>
    </row>
    <row r="5">
      <c r="A5" s="10" t="n">
        <v>4</v>
      </c>
      <c r="B5" s="10" t="inlineStr">
        <is>
          <t>Estatal</t>
        </is>
      </c>
      <c r="C5" s="10" t="inlineStr">
        <is>
          <t>Estado</t>
        </is>
      </c>
      <c r="D5" s="10" t="inlineStr">
        <is>
          <t>Rajoy</t>
        </is>
      </c>
      <c r="E5" s="10" t="inlineStr">
        <is>
          <t>Agencia Estatal de Investigación (AEI)</t>
        </is>
      </c>
      <c r="F5" s="10" t="inlineStr">
        <is>
          <t>Nueva entidad con integración de unidades y programas preexistentes</t>
        </is>
      </c>
      <c r="G5" s="10" t="inlineStr">
        <is>
          <t>2015-11-27</t>
        </is>
      </c>
      <c r="H5" s="10" t="inlineStr">
        <is>
          <t>RD 1067/2015</t>
        </is>
      </c>
      <c r="I5" s="10" t="inlineStr">
        <is>
          <t>Financiar, evaluar, conceder y seguir ayudas de investigación científica y técnica.</t>
        </is>
      </c>
      <c r="J5" s="10" t="inlineStr">
        <is>
          <t>Juicio: poder de asignación de recursos real. Decide y tramita ayudas, no es únicamente un foro. Reducción neta de crédito en 2026 acreditada, sin prueba del destino.</t>
        </is>
      </c>
      <c r="K5" s="11" t="n">
        <v>1214.005</v>
      </c>
      <c r="L5" s="10" t="n">
        <v>2026</v>
      </c>
      <c r="M5" s="10" t="inlineStr">
        <is>
          <t>Crédito total actualizado</t>
        </is>
      </c>
      <c r="N5" s="10" t="inlineStr">
        <is>
          <t>31/08/2026</t>
        </is>
      </c>
      <c r="O5" s="10" t="inlineStr">
        <is>
          <t>Cifra propia verificada</t>
        </is>
      </c>
      <c r="P5" s="12" t="n">
        <v>1419.995</v>
      </c>
      <c r="Q5" s="12" t="n">
        <v>-205.99</v>
      </c>
      <c r="R5" s="10" t="inlineStr">
        <is>
          <t>Presupuesto propio, crédito inicial 2026 1.419,995 M EUR; modificaciones netas -205,990 M; crédito total 1.214,005 M al 31/08/2026. IGAE p.100, cifras publicadas en miles de euros, no gasto ejecutado ni dotación solo administrativa.</t>
        </is>
      </c>
      <c r="S5" s="10" t="inlineStr">
        <is>
          <t>31/08/2026, salvo indicación distinta</t>
        </is>
      </c>
      <c r="T5" s="10" t="inlineStr">
        <is>
          <t>Vigente.</t>
        </is>
      </c>
      <c r="U5" s="10" t="inlineStr">
        <is>
          <t>No se ha demostrado la causa ni el destino de los -205,990 M EUR. No equivalen por sí solos a vaciamiento ni a desaparición de funciones. Obligaciones no financieras agosto: 458,023 M EUR, frente a 455,808 M en agosto 2025 (IGAE p.102).</t>
        </is>
      </c>
      <c r="V5" s="10" t="inlineStr">
        <is>
          <t>Ámbito temático próximo; funciones distintas; Ámbito I+D+i próximo; funciones y territorios distintos</t>
        </is>
      </c>
      <c r="W5" s="10" t="inlineStr">
        <is>
          <t>33, 89, 112, 117</t>
        </is>
      </c>
      <c r="X5" s="10" t="inlineStr">
        <is>
          <t>Investigación/innovación: AEI financia y sigue ayudas, CSIC realiza investigación, GAIN promueve innovación autonómica. No hay doble financiación demostrada. | Financiación, investigación o innovación en ámbitos estatales y autonómicos distintos; no equivalencia de programas ni doble financiación demostrada.</t>
        </is>
      </c>
      <c r="Y5" s="10" t="inlineStr">
        <is>
          <t>https://www.boe.es/eli/es/rd/2015/11/27/1067
https://www.igae.pap.hacienda.gob.es/sitios/igae/es-ES/Contabilidad/ContabilidadPublica/CPE/EjecucionPresupuestaria/Documents/ORGANISMOS%2008.%202026.pdf
https://www.aei.gob.es/en/about-aei/plans-aei/Budget
https://www.boe.es/eli/es/rd/2007/12/21/1730/con
https://www.xunta.gal/dog/Publicados/2012/20120127/AnuncioCA04-230112-11332_es.html
https://www.xunta.gal/dog/Publicados/2025/20251231/AnuncioC3B0-231225-0001_es.html
https://boe.es/buscar/doc.php?id=BOE-A-2023-1605
https://www.boe.es/eli/es-cm/l/2020/07/10/4</t>
        </is>
      </c>
      <c r="Z5" s="10" t="inlineStr">
        <is>
          <t>https://www.boe.es/eli/es/rd/2015/11/27/1067
https://www.igae.pap.hacienda.gob.es/sitios/igae/es-ES/Contabilidad/ContabilidadPublica/CPE/EjecucionPresupuestaria/Documents/ORGANISMOS%2008.%202026.pdf
https://www.aei.gob.es/en/about-aei/plans-aei/Budget</t>
        </is>
      </c>
      <c r="AA5" s="12" t="n"/>
      <c r="AB5" s="10" t="n"/>
      <c r="AC5" s="10" t="n"/>
      <c r="AD5" s="10" t="n"/>
      <c r="AE5" s="13" t="inlineStr">
        <is>
          <t>https://files.instinct.com/q91pr53q4umo-entidades-publicas-poder-y-presupuesto</t>
        </is>
      </c>
      <c r="AF5" s="10" t="inlineStr">
        <is>
          <t>12/10/2026</t>
        </is>
      </c>
      <c r="AG5" s="10" t="n"/>
      <c r="AH5" s="10" t="n"/>
      <c r="AI5" s="10" t="inlineStr">
        <is>
          <t>Personas realmente ocupadas; no equiparar vocales, puestos RPT o apoyo ministerial con plantilla</t>
        </is>
      </c>
      <c r="AJ5" s="10" t="inlineStr">
        <is>
          <t>Pendiente: sin cifra de personal ocupado verificada en el conjunto actual</t>
        </is>
      </c>
      <c r="AK5" s="10" t="n"/>
      <c r="AL5" s="12" t="n">
        <v>13.568</v>
      </c>
      <c r="AM5" s="10" t="n">
        <v>2026</v>
      </c>
      <c r="AN5" s="10" t="inlineStr">
        <is>
          <t>Capítulo 1: crédito TOTAL actualizado IGAE, corte 31/08/2026</t>
        </is>
      </c>
      <c r="AO5" s="10" t="inlineStr">
        <is>
          <t>Crédito autorizado, no gasto realizado ni solo salarios</t>
        </is>
      </c>
      <c r="AP5" s="10" t="inlineStr">
        <is>
          <t>https://www.igae.pap.hacienda.gob.es/sitios/igae/es-ES/Contabilidad/ContabilidadPublica/CPE/EjecucionPresupuestaria/Documents/ORGANISMOS%2008.%202026.pdf</t>
        </is>
      </c>
      <c r="AQ5" s="12" t="n">
        <v>8.324999999999999</v>
      </c>
      <c r="AR5" s="10" t="n">
        <v>2026</v>
      </c>
      <c r="AS5" s="10" t="inlineStr">
        <is>
          <t>Hasta 31/08/2026:8 meses, NO año completo</t>
        </is>
      </c>
      <c r="AT5" s="10" t="inlineStr">
        <is>
          <t>Capítulo 1: obligaciones reconocidas; incluye costes de personal, no desglose salarial puro</t>
        </is>
      </c>
      <c r="AU5" s="10" t="inlineStr">
        <is>
          <t>https://www.igae.pap.hacienda.gob.es/sitios/igae/es-ES/Contabilidad/ContabilidadPublica/CPE/EjecucionPresupuestaria/Documents/ORGANISMOS%2008.%202026.pdf</t>
        </is>
      </c>
      <c r="AV5" s="10" t="inlineStr">
        <is>
          <t>Fuente primaria cotejada contra fila y unidad milesEUR; no estimación</t>
        </is>
      </c>
      <c r="AW5" s="10" t="inlineStr">
        <is>
          <t>Crédito y gasto de personal individual verificados; plantilla ocupada solo si hay cifra y fecha independiente</t>
        </is>
      </c>
      <c r="AX5" s="14" t="n"/>
      <c r="AY5" s="14" t="n"/>
      <c r="AZ5" s="14" t="n"/>
      <c r="BA5" s="14" t="n"/>
      <c r="BB5" s="14" t="n"/>
      <c r="BC5" s="10" t="inlineStr">
        <is>
          <t>Revisado: AEI</t>
        </is>
      </c>
      <c r="BD5" s="10" t="inlineStr">
        <is>
          <t>Evaluación científica de ayudas/proyectos; no trámite general de consentimiento legislativo en art5.</t>
        </is>
      </c>
      <c r="BE5" s="10" t="inlineStr">
        <is>
          <t>No consentimiento favorable para leyes establecido en funciones revisadas.</t>
        </is>
      </c>
      <c r="BF5" s="10" t="inlineStr">
        <is>
          <t>No veto legislativo identificado en estas cláusulas; no pretende descartar obligaciones sectoriales en otras normas.</t>
        </is>
      </c>
      <c r="BG5" s="10" t="inlineStr">
        <is>
          <t>RD1067/2015 art5</t>
        </is>
      </c>
      <c r="BH5" s="10" t="inlineStr">
        <is>
          <t>https://www.boe.es/eli/es/rd/2015/11/27/1067</t>
        </is>
      </c>
      <c r="BI5" s="12" t="n">
        <v>8.324999999999999</v>
      </c>
      <c r="BJ5" s="12" t="n">
        <v>12.346</v>
      </c>
      <c r="BK5" s="12" t="n">
        <v>7.946</v>
      </c>
      <c r="BL5" s="12" t="n"/>
      <c r="BM5" s="10" t="n"/>
      <c r="BN5" s="10" t="inlineStr">
        <is>
          <t>IGAE: columnas 2026 crédito / obligaciones / pagos;2025 crédito y obligaciones al mismo 31/08. No comparar 8 meses con año completo. Capítulo 1 no equivale solo a sueldos. PlantillaRPT del lote no incorporada sin verificación adicional.</t>
        </is>
      </c>
      <c r="BO5" s="12" t="n">
        <v>12.789</v>
      </c>
      <c r="BP5" s="12" t="n">
        <v>12.649</v>
      </c>
      <c r="BQ5" s="12" t="n">
        <v>12.649</v>
      </c>
      <c r="BR5" s="12" t="inlineStr">
        <is>
          <t>2025: hasta31/12/2025, año completo</t>
        </is>
      </c>
      <c r="BS5" s="12" t="inlineStr">
        <is>
          <t>Capítulo1: gastos de personal; obligaciones reconocidas, no solo salarios</t>
        </is>
      </c>
      <c r="BT5" s="12" t="inlineStr">
        <is>
          <t>https://www.igae.pap.hacienda.gob.es/sitios/igae/es-ES/Contabilidad/ContabilidadPublica/CPE/EjecucionPresupuestaria/Documents/ORGANISMOS%2012.%202025.pdf</t>
        </is>
      </c>
      <c r="BU5" s="12" t="inlineStr">
        <is>
          <t>Fuente primaria cotejada: IGAE edición12.2025, tabla y unidad milesEUR. No confundir con comparativa2025 de edición08.2026. Crédito comparativo edición08.2026: 12.346M; crédito cierre12.2025: 12.789M. La diferencia no prueba por sí sola origen/cause de transferencia.</t>
        </is>
      </c>
      <c r="BV5" s="27" t="inlineStr">
        <is>
          <t>Útil</t>
        </is>
      </c>
      <c r="BW5" s="27" t="inlineStr">
        <is>
          <t>Mantener</t>
        </is>
      </c>
      <c r="BX5" s="27" t="inlineStr">
        <is>
          <t>Financiación y ayudas</t>
        </is>
      </c>
      <c r="BY5" s="27" t="inlineStr">
        <is>
          <t>Organismo estatal de referencia. 8 comunidades tienen el suyo propio; 10 organismos sobre este tema entre el Estado y las CCAA (verificados).</t>
        </is>
      </c>
      <c r="BZ5" s="27" t="inlineStr">
        <is>
          <t>No</t>
        </is>
      </c>
      <c r="CA5" s="27" t="inlineStr">
        <is>
          <t>Acreditada</t>
        </is>
      </c>
      <c r="CB5" s="27" t="inlineStr">
        <is>
          <t>Evalúa por pares y concede las ayudas estatales de investigación.</t>
        </is>
      </c>
      <c r="CC5" s="27" t="inlineStr">
        <is>
          <t>Aplicando el criterio del P100: Costes del Estado 9 (función técnica)</t>
        </is>
      </c>
      <c r="CD5" s="12" t="n"/>
      <c r="CE5" s="27" t="inlineStr">
        <is>
          <t>Agencias de investigación e innovación</t>
        </is>
      </c>
      <c r="CF5" s="28" t="n">
        <v>10</v>
      </c>
      <c r="CG5" s="12" t="n"/>
      <c r="CH5" s="29">
        <f>IF(AND(ISNUMBER(BP5),ISNUMBER(AG5),AG5&gt;0),BP5*1000000/AG5,"")</f>
        <v/>
      </c>
      <c r="CI5" s="12" t="n"/>
      <c r="CJ5" s="12" t="n"/>
      <c r="CK5" s="12" t="n"/>
      <c r="CL5" s="12" t="n"/>
      <c r="CM5" s="12" t="n"/>
      <c r="CN5" s="12" t="n"/>
      <c r="CO5" s="12" t="n"/>
      <c r="CP5" s="12" t="n"/>
      <c r="CQ5" s="12" t="n"/>
      <c r="CR5" s="12" t="n"/>
      <c r="CS5" s="12" t="n"/>
    </row>
    <row r="6">
      <c r="A6" s="10" t="n">
        <v>5</v>
      </c>
      <c r="B6" s="10" t="inlineStr">
        <is>
          <t>Estatal</t>
        </is>
      </c>
      <c r="C6" s="10" t="inlineStr">
        <is>
          <t>Estado</t>
        </is>
      </c>
      <c r="D6" s="10" t="inlineStr">
        <is>
          <t>Rajoy</t>
        </is>
      </c>
      <c r="E6" s="10" t="inlineStr">
        <is>
          <t>Autoridad Independiente de Responsabilidad Fiscal (AIReF)</t>
        </is>
      </c>
      <c r="F6" s="10" t="inlineStr">
        <is>
          <t>Nueva autoridad</t>
        </is>
      </c>
      <c r="G6" s="10" t="inlineStr">
        <is>
          <t>2013-11-14</t>
        </is>
      </c>
      <c r="H6" s="10" t="inlineStr">
        <is>
          <t>LO 6/2013</t>
        </is>
      </c>
      <c r="I6" s="10" t="inlineStr">
        <is>
          <t>Supervisar estabilidad presupuestaria y sostenibilidad; informes, opiniones y evaluaciones; recomendaciones bajo cumplir o explicar.</t>
        </is>
      </c>
      <c r="J6" s="10" t="inlineStr">
        <is>
          <t>Juicio: influencia técnica y control fiscal real, pero no puede vetar presupuestos ni imponer sanciones. Publica Spending Reviews y evaluaciones verificadas.</t>
        </is>
      </c>
      <c r="K6" s="11" t="n">
        <v>12.341</v>
      </c>
      <c r="L6" s="10" t="n">
        <v>2026</v>
      </c>
      <c r="M6" s="10" t="inlineStr">
        <is>
          <t>Crédito total actualizado</t>
        </is>
      </c>
      <c r="N6" s="10" t="inlineStr">
        <is>
          <t>31/08/2026</t>
        </is>
      </c>
      <c r="O6" s="10" t="inlineStr">
        <is>
          <t>Cifra propia verificada</t>
        </is>
      </c>
      <c r="P6" s="12" t="n">
        <v>10.579</v>
      </c>
      <c r="Q6" s="12" t="n">
        <v>1.762</v>
      </c>
      <c r="R6" s="10" t="inlineStr">
        <is>
          <t>Presupuesto propio, crédito inicial 2026 10,579 M EUR; modificaciones netas +1,762 M; crédito total 12,341 M al 31/08/2026. IGAE p.99, cifras publicadas en miles de euros, no gasto ejecutado ni dotación solo administrativa.</t>
        </is>
      </c>
      <c r="S6" s="10" t="inlineStr">
        <is>
          <t>31/08/2026, salvo indicación distinta</t>
        </is>
      </c>
      <c r="T6" s="10" t="inlineStr">
        <is>
          <t>Vigente; estado operativo no exhaustivamente auditado</t>
        </is>
      </c>
      <c r="U6" s="10" t="inlineStr">
        <is>
          <t>No se ha verificado el número actual de puestos ocupados ni la independencia práctica de su dirección.</t>
        </is>
      </c>
      <c r="V6" s="10" t="inlineStr">
        <is>
          <t>No se ha identificado relación en esta revisión (no certifica ausencia)</t>
        </is>
      </c>
      <c r="W6" s="10" t="n"/>
      <c r="X6" s="10" t="inlineStr">
        <is>
          <t>Revisión cualitativa del mandato y estado de las 95 fichas; no auditoría exhaustiva de funciones ni proyectos.</t>
        </is>
      </c>
      <c r="Y6" s="10" t="n"/>
      <c r="Z6" s="10" t="inlineStr">
        <is>
          <t>https://www.boe.es/eli/es/lo/2013/11/14/6/con
https://www.igae.pap.hacienda.gob.es/sitios/igae/es-ES/Contabilidad/ContabilidadPublica/CPE/EjecucionPresupuestaria/Documents/ORGANISMOS%2008.%202026.pdf
https://www.airef.es/es/spending-review/</t>
        </is>
      </c>
      <c r="AA6" s="12" t="n"/>
      <c r="AB6" s="10" t="n"/>
      <c r="AC6" s="10" t="n"/>
      <c r="AD6" s="10" t="n"/>
      <c r="AE6" s="13" t="inlineStr">
        <is>
          <t>https://files.instinct.com/q91pr53q4umo-entidades-publicas-poder-y-presupuesto</t>
        </is>
      </c>
      <c r="AF6" s="10" t="inlineStr">
        <is>
          <t>12/10/2026</t>
        </is>
      </c>
      <c r="AG6" s="10" t="n"/>
      <c r="AH6" s="10" t="n"/>
      <c r="AI6" s="10" t="inlineStr">
        <is>
          <t>Personas realmente ocupadas; no equiparar vocales, puestos RPT o apoyo ministerial con plantilla</t>
        </is>
      </c>
      <c r="AJ6" s="10" t="inlineStr">
        <is>
          <t>Pendiente: sin cifra de personal ocupado verificada en el conjunto actual</t>
        </is>
      </c>
      <c r="AK6" s="10" t="n"/>
      <c r="AL6" s="12" t="n">
        <v>8.493</v>
      </c>
      <c r="AM6" s="10" t="n">
        <v>2026</v>
      </c>
      <c r="AN6" s="10" t="inlineStr">
        <is>
          <t>Capítulo 1: crédito TOTAL actualizado IGAE, corte 31/08/2026</t>
        </is>
      </c>
      <c r="AO6" s="10" t="inlineStr">
        <is>
          <t>Crédito autorizado, no gasto realizado ni solo salarios</t>
        </is>
      </c>
      <c r="AP6" s="10" t="inlineStr">
        <is>
          <t>https://www.igae.pap.hacienda.gob.es/sitios/igae/es-ES/Contabilidad/ContabilidadPublica/CPE/EjecucionPresupuestaria/Documents/ORGANISMOS%2008.%202026.pdf</t>
        </is>
      </c>
      <c r="AQ6" s="12" t="n">
        <v>5.115</v>
      </c>
      <c r="AR6" s="10" t="n">
        <v>2026</v>
      </c>
      <c r="AS6" s="10" t="inlineStr">
        <is>
          <t>Hasta 31/08/2026:8 meses, NO año completo</t>
        </is>
      </c>
      <c r="AT6" s="10" t="inlineStr">
        <is>
          <t>Capítulo 1: obligaciones reconocidas; incluye costes de personal, no desglose salarial puro</t>
        </is>
      </c>
      <c r="AU6" s="10" t="inlineStr">
        <is>
          <t>https://www.igae.pap.hacienda.gob.es/sitios/igae/es-ES/Contabilidad/ContabilidadPublica/CPE/EjecucionPresupuestaria/Documents/ORGANISMOS%2008.%202026.pdf</t>
        </is>
      </c>
      <c r="AV6" s="10" t="inlineStr">
        <is>
          <t>Fuente primaria cotejada contra fila y unidad milesEUR; no estimación</t>
        </is>
      </c>
      <c r="AW6" s="10" t="inlineStr">
        <is>
          <t>Crédito y gasto de personal individual verificados; plantilla ocupada solo si hay cifra y fecha independiente</t>
        </is>
      </c>
      <c r="AX6" s="14" t="n"/>
      <c r="AY6" s="14" t="n"/>
      <c r="AZ6" s="14" t="n"/>
      <c r="BA6" s="14" t="n"/>
      <c r="BB6" s="14" t="n"/>
      <c r="BC6" s="10" t="inlineStr">
        <is>
          <t>Revisado: AIReF, informes presupuestarios y orden metodológica</t>
        </is>
      </c>
      <c r="BD6" s="10" t="inlineStr">
        <is>
          <t>Sí: previsiones de proyectos de presupuestos y modificación de orden metodológica; NO todas las leyes.</t>
        </is>
      </c>
      <c r="BE6" s="10" t="inlineStr">
        <is>
          <t>Recomendaciones: apartarse exige motivación e incorporar informe (art5.1). Aval de previsiones debe indicarse; no consentimiento para aprobar ley.</t>
        </is>
      </c>
      <c r="BF6" s="10" t="inlineStr">
        <is>
          <t>Trámite previo en ámbito específico. Omitirlo puede generar cuestión procedimental, no veto parlamentario automático; efecto exacto requiere analizar procedimiento.</t>
        </is>
      </c>
      <c r="BG6" s="10" t="inlineStr">
        <is>
          <t>LO6/2013 arts5.1,14,15</t>
        </is>
      </c>
      <c r="BH6" s="10" t="inlineStr">
        <is>
          <t>https://www.boe.es/eli/es/lo/2013/11/14/6/con</t>
        </is>
      </c>
      <c r="BI6" s="12" t="n">
        <v>5.115</v>
      </c>
      <c r="BJ6" s="12" t="n">
        <v>8.375999999999999</v>
      </c>
      <c r="BK6" s="12" t="n">
        <v>4.511</v>
      </c>
      <c r="BL6" s="12" t="n"/>
      <c r="BM6" s="10" t="n"/>
      <c r="BN6" s="10" t="inlineStr">
        <is>
          <t>IGAE: columnas 2026 crédito / obligaciones / pagos;2025 crédito y obligaciones al mismo 31/08. No comparar 8 meses con año completo. Capítulo 1 no equivale solo a sueldos. PlantillaRPT del lote no incorporada sin verificación adicional.</t>
        </is>
      </c>
      <c r="BO6" s="12" t="n">
        <v>8.375999999999999</v>
      </c>
      <c r="BP6" s="12" t="n">
        <v>7.338</v>
      </c>
      <c r="BQ6" s="12" t="n">
        <v>7.338</v>
      </c>
      <c r="BR6" s="12" t="inlineStr">
        <is>
          <t>2025: hasta31/12/2025, año completo</t>
        </is>
      </c>
      <c r="BS6" s="12" t="inlineStr">
        <is>
          <t>Capítulo1: gastos de personal; obligaciones reconocidas, no solo salarios</t>
        </is>
      </c>
      <c r="BT6" s="12" t="inlineStr">
        <is>
          <t>https://www.igae.pap.hacienda.gob.es/sitios/igae/es-ES/Contabilidad/ContabilidadPublica/CPE/EjecucionPresupuestaria/Documents/ORGANISMOS%2012.%202025.pdf</t>
        </is>
      </c>
      <c r="BU6" s="12" t="inlineStr">
        <is>
          <t>Fuente primaria cotejada: IGAE edición12.2025, tabla y unidad milesEUR. No confundir con comparativa2025 de edición08.2026.</t>
        </is>
      </c>
      <c r="BV6" s="27" t="inlineStr">
        <is>
          <t>Útil</t>
        </is>
      </c>
      <c r="BW6" s="27" t="inlineStr">
        <is>
          <t>Mantener</t>
        </is>
      </c>
      <c r="BX6" s="27" t="inlineStr">
        <is>
          <t>Control interno y cumplimiento</t>
        </is>
      </c>
      <c r="BY6" s="12" t="n"/>
      <c r="BZ6" s="27" t="inlineStr">
        <is>
          <t>Sí: la Directiva 2011/85/UE exige un organismo fiscal independiente</t>
        </is>
      </c>
      <c r="CA6" s="27" t="inlineStr">
        <is>
          <t>Acreditada</t>
        </is>
      </c>
      <c r="CB6" s="27" t="inlineStr">
        <is>
          <t>Evalúa el gasto y los beneficios fiscales: el P100 le encarga revisar todo el gasto y conserva su informe obligatorio. Exigida por la UE.</t>
        </is>
      </c>
      <c r="CC6" s="27" t="inlineStr">
        <is>
          <t>Explícito en el P100: Costes del Estado 1, 9 y 12; Organización del Estado 11</t>
        </is>
      </c>
      <c r="CD6" s="12" t="n"/>
      <c r="CE6" s="27" t="inlineStr">
        <is>
          <t>Supervisión fiscal</t>
        </is>
      </c>
      <c r="CF6" s="12" t="n"/>
      <c r="CG6" s="12" t="n"/>
      <c r="CH6" s="29">
        <f>IF(AND(ISNUMBER(BP6),ISNUMBER(AG6),AG6&gt;0),BP6*1000000/AG6,"")</f>
        <v/>
      </c>
      <c r="CI6" s="12" t="n"/>
      <c r="CJ6" s="12" t="n"/>
      <c r="CK6" s="12" t="n"/>
      <c r="CL6" s="12" t="n"/>
      <c r="CM6" s="12" t="n"/>
      <c r="CN6" s="12" t="n"/>
      <c r="CO6" s="12" t="n"/>
      <c r="CP6" s="12" t="n"/>
      <c r="CQ6" s="12" t="n"/>
      <c r="CR6" s="12" t="n"/>
      <c r="CS6" s="12" t="n"/>
    </row>
    <row r="7">
      <c r="A7" s="10" t="n">
        <v>6</v>
      </c>
      <c r="B7" s="10" t="inlineStr">
        <is>
          <t>Estatal</t>
        </is>
      </c>
      <c r="C7" s="10" t="inlineStr">
        <is>
          <t>Estado</t>
        </is>
      </c>
      <c r="D7" s="10" t="inlineStr">
        <is>
          <t>Rajoy</t>
        </is>
      </c>
      <c r="E7" s="10" t="inlineStr">
        <is>
          <t>Consejo de Transparencia y Buen Gobierno (CTBG)</t>
        </is>
      </c>
      <c r="F7" s="10" t="inlineStr">
        <is>
          <t>Nueva entidad</t>
        </is>
      </c>
      <c r="G7" s="10" t="inlineStr">
        <is>
          <t>2013-12-09</t>
        </is>
      </c>
      <c r="H7" s="10" t="inlineStr">
        <is>
          <t>Ley 19/2013, art.33; RD 919/2014</t>
        </is>
      </c>
      <c r="I7" s="10" t="inlineStr">
        <is>
          <t>Resolver reclamaciones de acceso a información y controlar publicidad activa.</t>
        </is>
      </c>
      <c r="J7" s="10" t="inlineStr">
        <is>
          <t>Juicio: poder jurídico real al resolver reclamaciones; no tiene una capacidad general de imponer multas. Ejecución y estructura presupuestaria evidencian operación.</t>
        </is>
      </c>
      <c r="K7" s="11" t="n">
        <v>3.37938</v>
      </c>
      <c r="L7" s="10" t="n">
        <v>2026</v>
      </c>
      <c r="M7" s="10" t="inlineStr">
        <is>
          <t>Crédito total actualizado</t>
        </is>
      </c>
      <c r="N7" s="10" t="inlineStr">
        <is>
          <t>31/08/2026</t>
        </is>
      </c>
      <c r="O7" s="10" t="inlineStr">
        <is>
          <t>Cifra propia verificada</t>
        </is>
      </c>
      <c r="P7" s="12" t="n">
        <v>3.37938</v>
      </c>
      <c r="Q7" s="12" t="n">
        <v>0</v>
      </c>
      <c r="R7" s="10" t="inlineStr">
        <is>
          <t>Presupuesto propio 2026: 3.379.380 EUR exactos (programa 921X). IGAE agosto: 3,380 M EUR redondeados, modificación neta cero. Obligaciones no financieras: 1,671 M EUR (p.102). No confundir con el presupuesto total del ministerio.</t>
        </is>
      </c>
      <c r="S7" s="10" t="inlineStr">
        <is>
          <t>31/08/2026, salvo indicación distinta</t>
        </is>
      </c>
      <c r="T7" s="10" t="inlineStr">
        <is>
          <t>Vigente; estatuto reemplazado en 2024.</t>
        </is>
      </c>
      <c r="U7" s="10" t="inlineStr">
        <is>
          <t>Modificación neta cero no descarta transferencias compensadas entre partidas.</t>
        </is>
      </c>
      <c r="V7" s="10" t="inlineStr">
        <is>
          <t>No se ha identificado relación en esta revisión (no certifica ausencia)</t>
        </is>
      </c>
      <c r="W7" s="10" t="n"/>
      <c r="X7" s="10" t="inlineStr">
        <is>
          <t>Revisión cualitativa del mandato y estado de las 95 fichas; no auditoría exhaustiva de funciones ni proyectos.</t>
        </is>
      </c>
      <c r="Y7" s="10" t="n"/>
      <c r="Z7" s="10" t="inlineStr">
        <is>
          <t>https://www.boe.es/eli/es/l/2013/12/09/19
https://www.igae.pap.hacienda.gob.es/sitios/igae/es-ES/Contabilidad/ContabilidadPublica/CPE/EjecucionPresupuestaria/Documents/ORGANISMOS%2008.%202026.pdf
https://consejodetransparencia.es/content/dam/ctransparencia/portal-ctbg/transparencia/informacion-economica-presupuestaria-y-estadistica/presupuestos-y-ejecuci%C3%B3n/2026/presupuesto-gastos-2026(prorrogado).pdf</t>
        </is>
      </c>
      <c r="AA7" s="12" t="n"/>
      <c r="AB7" s="10" t="n"/>
      <c r="AC7" s="10" t="n"/>
      <c r="AD7" s="10" t="n"/>
      <c r="AE7" s="13" t="inlineStr">
        <is>
          <t>https://files.instinct.com/q91pr53q4umo-entidades-publicas-poder-y-presupuesto</t>
        </is>
      </c>
      <c r="AF7" s="10" t="inlineStr">
        <is>
          <t>12/10/2026</t>
        </is>
      </c>
      <c r="AG7" s="10" t="n"/>
      <c r="AH7" s="10" t="n"/>
      <c r="AI7" s="10" t="inlineStr">
        <is>
          <t>Personas realmente ocupadas; no equiparar vocales, puestos RPT o apoyo ministerial con plantilla</t>
        </is>
      </c>
      <c r="AJ7" s="10" t="inlineStr">
        <is>
          <t>Pendiente: sin cifra de personal ocupado verificada en el conjunto actual</t>
        </is>
      </c>
      <c r="AK7" s="10" t="n"/>
      <c r="AL7" s="12" t="n">
        <v>2.464</v>
      </c>
      <c r="AM7" s="10" t="n">
        <v>2026</v>
      </c>
      <c r="AN7" s="10" t="inlineStr">
        <is>
          <t>Capítulo 1: crédito TOTAL actualizado IGAE, corte 31/08/2026</t>
        </is>
      </c>
      <c r="AO7" s="10" t="inlineStr">
        <is>
          <t>Crédito autorizado, no gasto realizado ni solo salarios</t>
        </is>
      </c>
      <c r="AP7" s="10" t="inlineStr">
        <is>
          <t>https://www.igae.pap.hacienda.gob.es/sitios/igae/es-ES/Contabilidad/ContabilidadPublica/CPE/EjecucionPresupuestaria/Documents/ORGANISMOS%2008.%202026.pdf</t>
        </is>
      </c>
      <c r="AQ7" s="12" t="n">
        <v>1.398</v>
      </c>
      <c r="AR7" s="10" t="n">
        <v>2026</v>
      </c>
      <c r="AS7" s="10" t="inlineStr">
        <is>
          <t>Hasta 31/08/2026:8 meses, NO año completo</t>
        </is>
      </c>
      <c r="AT7" s="10" t="inlineStr">
        <is>
          <t>Capítulo 1: obligaciones reconocidas; incluye costes de personal, no desglose salarial puro</t>
        </is>
      </c>
      <c r="AU7" s="10" t="inlineStr">
        <is>
          <t>https://www.igae.pap.hacienda.gob.es/sitios/igae/es-ES/Contabilidad/ContabilidadPublica/CPE/EjecucionPresupuestaria/Documents/ORGANISMOS%2008.%202026.pdf</t>
        </is>
      </c>
      <c r="AV7" s="10" t="inlineStr">
        <is>
          <t>Fuente primaria cotejada contra fila y unidad milesEUR; no estimación</t>
        </is>
      </c>
      <c r="AW7" s="10" t="inlineStr">
        <is>
          <t>Crédito y gasto de personal individual verificados; plantilla ocupada solo si hay cifra y fecha independiente</t>
        </is>
      </c>
      <c r="AX7" s="14" t="n"/>
      <c r="AY7" s="14" t="n"/>
      <c r="AZ7" s="14" t="n"/>
      <c r="BA7" s="14" t="n"/>
      <c r="BB7" s="14" t="n"/>
      <c r="BC7" s="10" t="inlineStr">
        <is>
          <t>Informe obligatorio sobre determinados proyectos normativos estatales</t>
        </is>
      </c>
      <c r="BD7" s="10" t="inlineStr">
        <is>
          <t>Sí: proyectos normativos estatales que desarrollen Ley 19/2013 o estén relacionados con su objeto</t>
        </is>
      </c>
      <c r="BE7" s="10" t="inlineStr">
        <is>
          <t>El art 38.1(c) exige informe, no dictamen favorable ni consentimiento; no declara vinculación</t>
        </is>
      </c>
      <c r="BF7" s="10" t="inlineStr">
        <is>
          <t>Puede exigir el trámite de informe en su ámbito. No se atribuye veto a la aprobación parlamentaria; efecto de omisión o demora requiere revisar expediente y procedimiento concreto.</t>
        </is>
      </c>
      <c r="BG7" s="10" t="inlineStr">
        <is>
          <t>Ley 19/2013 art 38.1(c)</t>
        </is>
      </c>
      <c r="BH7" s="10" t="inlineStr">
        <is>
          <t>https://www.boe.es/eli/es/l/2013/12/09/19</t>
        </is>
      </c>
      <c r="BI7" s="12" t="n">
        <v>1.398</v>
      </c>
      <c r="BJ7" s="12" t="n">
        <v>2.464</v>
      </c>
      <c r="BK7" s="12" t="n">
        <v>1.409</v>
      </c>
      <c r="BL7" s="12" t="n"/>
      <c r="BM7" s="10" t="n"/>
      <c r="BN7" s="10" t="inlineStr">
        <is>
          <t>IGAE: columnas 2026 crédito / obligaciones / pagos;2025 crédito y obligaciones al mismo 31/08. No comparar 8 meses con año completo. Capítulo 1 no equivale solo a sueldos. PlantillaRPT del lote no incorporada sin verificación adicional.</t>
        </is>
      </c>
      <c r="BO7" s="12" t="n">
        <v>2.464</v>
      </c>
      <c r="BP7" s="12" t="n">
        <v>2.201</v>
      </c>
      <c r="BQ7" s="12" t="n">
        <v>2.201</v>
      </c>
      <c r="BR7" s="12" t="inlineStr">
        <is>
          <t>2025: hasta31/12/2025, año completo</t>
        </is>
      </c>
      <c r="BS7" s="12" t="inlineStr">
        <is>
          <t>Capítulo1: gastos de personal; obligaciones reconocidas, no solo salarios</t>
        </is>
      </c>
      <c r="BT7" s="12" t="inlineStr">
        <is>
          <t>https://www.igae.pap.hacienda.gob.es/sitios/igae/es-ES/Contabilidad/ContabilidadPublica/CPE/EjecucionPresupuestaria/Documents/ORGANISMOS%2012.%202025.pdf</t>
        </is>
      </c>
      <c r="BU7" s="12" t="inlineStr">
        <is>
          <t>Fuente primaria cotejada: IGAE edición12.2025, tabla y unidad milesEUR. No confundir con comparativa2025 de edición08.2026.</t>
        </is>
      </c>
      <c r="BV7" s="27" t="inlineStr">
        <is>
          <t>Útil</t>
        </is>
      </c>
      <c r="BW7" s="27" t="inlineStr">
        <is>
          <t>Reformar</t>
        </is>
      </c>
      <c r="BX7" s="27" t="inlineStr">
        <is>
          <t>Control interno y cumplimiento</t>
        </is>
      </c>
      <c r="BY7" s="27" t="inlineStr">
        <is>
          <t>Organismo estatal de referencia. 12 comunidades tienen el suyo propio; 13 organismos sobre este tema entre el Estado y las CCAA (verificados).</t>
        </is>
      </c>
      <c r="BZ7" s="27" t="inlineStr">
        <is>
          <t>No</t>
        </is>
      </c>
      <c r="CA7" s="27" t="inlineStr">
        <is>
          <t>Acreditada</t>
        </is>
      </c>
      <c r="CB7" s="27" t="inlineStr">
        <is>
          <t>Resuelve las reclamaciones de acceso a la información; el P100 lo mantiene pero lo saca del alcance del Gobierno (terna por mérito, mandato único). Absorbería a los consejos autonómicos.</t>
        </is>
      </c>
      <c r="CC7" s="27" t="inlineStr">
        <is>
          <t>Explícito en el P100: Organización del Estado 11</t>
        </is>
      </c>
      <c r="CD7" s="12" t="n"/>
      <c r="CE7" s="27" t="inlineStr">
        <is>
          <t>Consejos de transparencia</t>
        </is>
      </c>
      <c r="CF7" s="28" t="n">
        <v>13</v>
      </c>
      <c r="CG7" s="12" t="n"/>
      <c r="CH7" s="29">
        <f>IF(AND(ISNUMBER(BP7),ISNUMBER(AG7),AG7&gt;0),BP7*1000000/AG7,"")</f>
        <v/>
      </c>
      <c r="CI7" s="12" t="n"/>
      <c r="CJ7" s="12" t="n"/>
      <c r="CK7" s="12" t="n"/>
      <c r="CL7" s="12" t="n"/>
      <c r="CM7" s="12" t="n"/>
      <c r="CN7" s="12" t="n"/>
      <c r="CO7" s="12" t="n"/>
      <c r="CP7" s="12" t="n"/>
      <c r="CQ7" s="12" t="n"/>
      <c r="CR7" s="12" t="n"/>
      <c r="CS7" s="12" t="n"/>
    </row>
    <row r="8">
      <c r="A8" s="10" t="n">
        <v>7</v>
      </c>
      <c r="B8" s="10" t="inlineStr">
        <is>
          <t>Estatal</t>
        </is>
      </c>
      <c r="C8" s="10" t="inlineStr">
        <is>
          <t>Estado</t>
        </is>
      </c>
      <c r="D8" s="10" t="inlineStr">
        <is>
          <t>Rajoy</t>
        </is>
      </c>
      <c r="E8" s="10" t="inlineStr">
        <is>
          <t>Agencia Estatal de Seguridad Ferroviaria (AESF)</t>
        </is>
      </c>
      <c r="F8" s="10" t="inlineStr">
        <is>
          <t>Nueva agencia que integra funciones ministeriales</t>
        </is>
      </c>
      <c r="G8" s="10" t="inlineStr">
        <is>
          <t>2014-12-19</t>
        </is>
      </c>
      <c r="H8" s="10" t="inlineStr">
        <is>
          <t>RD 1072/2014</t>
        </is>
      </c>
      <c r="I8" s="10" t="inlineStr">
        <is>
          <t>Autoridad nacional de seguridad ferroviaria: supervisión, certificados y autorizaciones de seguridad.</t>
        </is>
      </c>
      <c r="J8" s="10" t="inlineStr">
        <is>
          <t>Juicio: poder ejecutivo real, aunque no es una autoridad judicial ni un simple observatorio.</t>
        </is>
      </c>
      <c r="K8" s="11" t="n">
        <v>17.523</v>
      </c>
      <c r="L8" s="10" t="n">
        <v>2026</v>
      </c>
      <c r="M8" s="10" t="inlineStr">
        <is>
          <t>Crédito total actualizado</t>
        </is>
      </c>
      <c r="N8" s="10" t="inlineStr">
        <is>
          <t>31/08/2026</t>
        </is>
      </c>
      <c r="O8" s="10" t="inlineStr">
        <is>
          <t>Cifra propia verificada</t>
        </is>
      </c>
      <c r="P8" s="12" t="n">
        <v>16.463</v>
      </c>
      <c r="Q8" s="12" t="n">
        <v>1.06</v>
      </c>
      <c r="R8" s="10" t="inlineStr">
        <is>
          <t>Presupuesto propio, crédito inicial 2026 16,463 M EUR; modificaciones netas +1,060 M; crédito total 17,523 M al 31/08/2026. IGAE p.99, cifras publicadas en miles de euros, no gasto ejecutado ni dotación solo administrativa.</t>
        </is>
      </c>
      <c r="S8" s="10" t="inlineStr">
        <is>
          <t>31/08/2026, salvo indicación distinta</t>
        </is>
      </c>
      <c r="T8" s="10" t="inlineStr">
        <is>
          <t>Vigente; estado operativo no exhaustivamente auditado</t>
        </is>
      </c>
      <c r="U8" s="10" t="inlineStr">
        <is>
          <t>No se ha verificado el número actual de puestos ocupados ni la independencia práctica de su dirección.</t>
        </is>
      </c>
      <c r="V8" s="10" t="inlineStr">
        <is>
          <t>No se ha identificado relación en esta revisión (no certifica ausencia)</t>
        </is>
      </c>
      <c r="W8" s="10" t="n"/>
      <c r="X8" s="10" t="inlineStr">
        <is>
          <t>Revisión cualitativa del mandato y estado de las 95 fichas; no auditoría exhaustiva de funciones ni proyectos.</t>
        </is>
      </c>
      <c r="Y8" s="10" t="n"/>
      <c r="Z8" s="10" t="inlineStr">
        <is>
          <t>https://www.boe.es/eli/es/rd/2014/12/19/1072
https://www.igae.pap.hacienda.gob.es/sitios/igae/es-ES/Contabilidad/ContabilidadPublica/CPE/EjecucionPresupuestaria/Documents/ORGANISMOS%2008.%202026.pdf</t>
        </is>
      </c>
      <c r="AA8" s="12" t="n"/>
      <c r="AB8" s="10" t="n"/>
      <c r="AC8" s="10" t="n"/>
      <c r="AD8" s="10" t="n"/>
      <c r="AE8" s="13" t="inlineStr">
        <is>
          <t>https://files.instinct.com/q91pr53q4umo-entidades-publicas-poder-y-presupuesto</t>
        </is>
      </c>
      <c r="AF8" s="10" t="inlineStr">
        <is>
          <t>12/10/2026</t>
        </is>
      </c>
      <c r="AG8" s="10" t="n"/>
      <c r="AH8" s="10" t="n"/>
      <c r="AI8" s="10" t="inlineStr">
        <is>
          <t>Personas realmente ocupadas; no equiparar vocales, puestos RPT o apoyo ministerial con plantilla</t>
        </is>
      </c>
      <c r="AJ8" s="10" t="inlineStr">
        <is>
          <t>Pendiente: sin cifra de personal ocupado verificada en el conjunto actual</t>
        </is>
      </c>
      <c r="AK8" s="10" t="n"/>
      <c r="AL8" s="12" t="n">
        <v>7.972</v>
      </c>
      <c r="AM8" s="10" t="n">
        <v>2026</v>
      </c>
      <c r="AN8" s="10" t="inlineStr">
        <is>
          <t>Capítulo 1: crédito TOTAL actualizado IGAE, corte 31/08/2026</t>
        </is>
      </c>
      <c r="AO8" s="10" t="inlineStr">
        <is>
          <t>Crédito autorizado, no gasto realizado ni solo salarios</t>
        </is>
      </c>
      <c r="AP8" s="10" t="inlineStr">
        <is>
          <t>https://www.igae.pap.hacienda.gob.es/sitios/igae/es-ES/Contabilidad/ContabilidadPublica/CPE/EjecucionPresupuestaria/Documents/ORGANISMOS%2008.%202026.pdf</t>
        </is>
      </c>
      <c r="AQ8" s="12" t="n">
        <v>4.836</v>
      </c>
      <c r="AR8" s="10" t="n">
        <v>2026</v>
      </c>
      <c r="AS8" s="10" t="inlineStr">
        <is>
          <t>Hasta 31/08/2026:8 meses, NO año completo</t>
        </is>
      </c>
      <c r="AT8" s="10" t="inlineStr">
        <is>
          <t>Capítulo 1: obligaciones reconocidas; incluye costes de personal, no desglose salarial puro</t>
        </is>
      </c>
      <c r="AU8" s="10" t="inlineStr">
        <is>
          <t>https://www.igae.pap.hacienda.gob.es/sitios/igae/es-ES/Contabilidad/ContabilidadPublica/CPE/EjecucionPresupuestaria/Documents/ORGANISMOS%2008.%202026.pdf</t>
        </is>
      </c>
      <c r="AV8" s="10" t="inlineStr">
        <is>
          <t>Fuente primaria cotejada contra fila y unidad milesEUR; no estimación</t>
        </is>
      </c>
      <c r="AW8" s="10" t="inlineStr">
        <is>
          <t>Crédito y gasto de personal individual verificados; plantilla ocupada solo si hay cifra y fecha independiente</t>
        </is>
      </c>
      <c r="AX8" s="14" t="n"/>
      <c r="AY8" s="14" t="n"/>
      <c r="AZ8" s="14" t="n"/>
      <c r="BA8" s="14" t="n"/>
      <c r="BB8" s="14" t="n"/>
      <c r="BC8" s="10" t="inlineStr">
        <is>
          <t>Revisado: AESF participación normativa</t>
        </is>
      </c>
      <c r="BD8" s="10" t="inlineStr">
        <is>
          <t>Proponer/elaborar marco normativo seguridad e interoperabilidad; no literal informepreceptivo general en art9h.</t>
        </is>
      </c>
      <c r="BE8" s="10" t="inlineStr">
        <is>
          <t>No se exige consentimiento favorable ni carácter vinculante del informe en la cláusula citada; no es veto.</t>
        </is>
      </c>
      <c r="BF8" s="10" t="inlineStr">
        <is>
          <t>Preparación normativa y autorizaciones técnicas distintas de consentimiento para aprobar leyes.</t>
        </is>
      </c>
      <c r="BG8" s="10" t="inlineStr">
        <is>
          <t>RD1072/2014 art9.1h y9.2</t>
        </is>
      </c>
      <c r="BH8" s="10" t="inlineStr">
        <is>
          <t>https://www.boe.es/eli/es/rd/2014/12/19/1072/con</t>
        </is>
      </c>
      <c r="BI8" s="12" t="n">
        <v>4.836</v>
      </c>
      <c r="BJ8" s="12" t="n">
        <v>6.896</v>
      </c>
      <c r="BK8" s="12" t="n">
        <v>4.24</v>
      </c>
      <c r="BL8" s="12" t="n"/>
      <c r="BM8" s="10" t="n"/>
      <c r="BN8" s="10" t="inlineStr">
        <is>
          <t>IGAE: columnas 2026 crédito / obligaciones / pagos;2025 crédito y obligaciones al mismo 31/08. No comparar 8 meses con año completo. Capítulo 1 no equivale solo a sueldos. PlantillaRPT del lote no incorporada sin verificación adicional. AESF: cifra previa del lote 6,896050M etiquetada 2022 no validada; IGAE2025 muestra 6,896M. No corregir año por parecido de importes.</t>
        </is>
      </c>
      <c r="BO8" s="12" t="n">
        <v>6.896</v>
      </c>
      <c r="BP8" s="12" t="n">
        <v>6.746</v>
      </c>
      <c r="BQ8" s="12" t="n">
        <v>6.746</v>
      </c>
      <c r="BR8" s="12" t="inlineStr">
        <is>
          <t>2025: hasta31/12/2025, año completo</t>
        </is>
      </c>
      <c r="BS8" s="12" t="inlineStr">
        <is>
          <t>Capítulo1: gastos de personal; obligaciones reconocidas, no solo salarios</t>
        </is>
      </c>
      <c r="BT8" s="12" t="inlineStr">
        <is>
          <t>https://www.igae.pap.hacienda.gob.es/sitios/igae/es-ES/Contabilidad/ContabilidadPublica/CPE/EjecucionPresupuestaria/Documents/ORGANISMOS%2012.%202025.pdf</t>
        </is>
      </c>
      <c r="BU8" s="12" t="inlineStr">
        <is>
          <t>Fuente primaria cotejada: IGAE edición12.2025, tabla y unidad milesEUR. No confundir con comparativa2025 de edición08.2026.</t>
        </is>
      </c>
      <c r="BV8" s="27" t="inlineStr">
        <is>
          <t>Útil</t>
        </is>
      </c>
      <c r="BW8" s="27" t="inlineStr">
        <is>
          <t>Mantener</t>
        </is>
      </c>
      <c r="BX8" s="27" t="inlineStr">
        <is>
          <t>Regulación o inspección de terceros</t>
        </is>
      </c>
      <c r="BY8" s="27" t="inlineStr">
        <is>
          <t>Organismo estatal de referencia. 1 comunidades tienen el suyo propio; 2 organismos sobre este tema entre el Estado y las CCAA (verificados).</t>
        </is>
      </c>
      <c r="BZ8" s="27" t="inlineStr">
        <is>
          <t>Sí: la Directiva (UE) 2016/798 exige una autoridad nacional de seguridad ferroviaria</t>
        </is>
      </c>
      <c r="CA8" s="27" t="inlineStr">
        <is>
          <t>Acreditada</t>
        </is>
      </c>
      <c r="CB8" s="27" t="inlineStr">
        <is>
          <t>Certifica e inspecciona la seguridad de la red ferroviaria estatal.</t>
        </is>
      </c>
      <c r="CC8" s="27" t="inlineStr">
        <is>
          <t>Aplicando el criterio del P100: Costes del Estado 9 (función técnica; exigida por la UE)</t>
        </is>
      </c>
      <c r="CD8" s="12" t="n"/>
      <c r="CE8" s="27" t="inlineStr">
        <is>
          <t>Seguridad ferroviaria</t>
        </is>
      </c>
      <c r="CF8" s="28" t="n">
        <v>2</v>
      </c>
      <c r="CG8" s="12" t="n"/>
      <c r="CH8" s="29">
        <f>IF(AND(ISNUMBER(BP8),ISNUMBER(AG8),AG8&gt;0),BP8*1000000/AG8,"")</f>
        <v/>
      </c>
      <c r="CI8" s="12" t="n"/>
      <c r="CJ8" s="12" t="n"/>
      <c r="CK8" s="12" t="n"/>
      <c r="CL8" s="12" t="n"/>
      <c r="CM8" s="12" t="n"/>
      <c r="CN8" s="12" t="n"/>
      <c r="CO8" s="12" t="n"/>
      <c r="CP8" s="12" t="n"/>
      <c r="CQ8" s="12" t="n"/>
      <c r="CR8" s="12" t="n"/>
      <c r="CS8" s="12" t="n"/>
    </row>
    <row r="9">
      <c r="A9" s="10" t="n">
        <v>8</v>
      </c>
      <c r="B9" s="10" t="inlineStr">
        <is>
          <t>Estatal</t>
        </is>
      </c>
      <c r="C9" s="10" t="inlineStr">
        <is>
          <t>Estado</t>
        </is>
      </c>
      <c r="D9" s="10" t="inlineStr">
        <is>
          <t>Zapatero</t>
        </is>
      </c>
      <c r="E9" s="10" t="inlineStr">
        <is>
          <t>Observatorio Estatal de la Convivencia Escolar</t>
        </is>
      </c>
      <c r="F9" s="10" t="inlineStr">
        <is>
          <t>Órgano colegiado nuevo sin personalidad propia</t>
        </is>
      </c>
      <c r="G9" s="10" t="inlineStr">
        <is>
          <t>2007-02-23</t>
        </is>
      </c>
      <c r="H9" s="10" t="inlineStr">
        <is>
          <t>RD 275/2007</t>
        </is>
      </c>
      <c r="I9" s="10" t="inlineStr">
        <is>
          <t>Recoger información, estudiar convivencia escolar, asesorar y recomendar políticas educativas.</t>
        </is>
      </c>
      <c r="J9" s="10" t="inlineStr">
        <is>
          <t>Juicio: poder consultivo, sin sanción, veto ni mando sobre centros. Función verificable; el ministerio mantiene página institucional y nombró vocales en 2025.</t>
        </is>
      </c>
      <c r="K9" s="11" t="n"/>
      <c r="L9" s="10" t="n"/>
      <c r="M9" s="10" t="n"/>
      <c r="N9" s="10" t="n"/>
      <c r="O9" s="10" t="inlineStr">
        <is>
          <t>Sin cifra propia actual verificada</t>
        </is>
      </c>
      <c r="P9" s="12" t="n"/>
      <c r="Q9" s="12" t="n"/>
      <c r="R9" s="10" t="inlineStr">
        <is>
          <t>No se ha identificado una línea propia en los cuadros generales consultados. Medios del ministerio, no cero EUR; dotación administrativa individual no cuantificada.</t>
        </is>
      </c>
      <c r="S9" s="10" t="inlineStr">
        <is>
          <t>31/08/2026, salvo indicación distinta</t>
        </is>
      </c>
      <c r="T9" s="10" t="inlineStr">
        <is>
          <t>Vigente; modificado en 2018.</t>
        </is>
      </c>
      <c r="U9" s="10" t="inlineStr">
        <is>
          <t>La ausencia de línea propia no prueba inactividad; falta verificar todas las reuniones y resultados 2026.</t>
        </is>
      </c>
      <c r="V9" s="10" t="inlineStr">
        <is>
          <t>Mandato paralelo en distinto nivel territorial</t>
        </is>
      </c>
      <c r="W9" s="10" t="inlineStr">
        <is>
          <t>85, 88</t>
        </is>
      </c>
      <c r="X9" s="10" t="inlineStr">
        <is>
          <t>Convivencia escolar: órgano estatal y dos autonómicos. Diferentes jurisdicciones; no prueba de gasto duplicado. Ficha 85 reubicada desde 2014.</t>
        </is>
      </c>
      <c r="Y9" s="10" t="inlineStr">
        <is>
          <t>https://www.boe.es/eli/es/rd/2007/02/23/275
https://www.educacionfpydeportes.gob.es/mc/sgctie/convivencia-escolar/observatorio.html
https://boe.es/boe/dias/2025/11/15/pdfs/BOE-A-2025-23138.pdf
https://www.educa.jcyl.es/convivenciaescolar/es/observatorio-convivencia-escolar/antecedentes-observatorio-convivencia-escolar-castilla-leon
https://recursos.educarex.es/pdf/normativa-sg/Decreto_28-2007.pdf</t>
        </is>
      </c>
      <c r="Z9" s="30" t="inlineStr">
        <is>
          <t>https://www.boe.es/eli/es/rd/2007/02/23/275
https://www.educacionfpydeportes.gob.es/mc/sgctie/convivencia-escolar/observatorio.html
https://boe.es/boe/dias/2025/11/15/pdfs/BOE-A-2025-23138.pdf
https://www.boe.es/eli/es/rd/2007/02/23/275/con</t>
        </is>
      </c>
      <c r="AA9" s="12" t="n"/>
      <c r="AB9" s="10" t="n"/>
      <c r="AC9" s="10" t="n"/>
      <c r="AD9" s="10" t="n"/>
      <c r="AE9" s="13" t="inlineStr">
        <is>
          <t>https://files.instinct.com/q91pr53q4umo-entidades-publicas-poder-y-presupuesto</t>
        </is>
      </c>
      <c r="AF9" s="10" t="inlineStr">
        <is>
          <t>12/10/2026</t>
        </is>
      </c>
      <c r="AG9" s="10" t="n"/>
      <c r="AH9" s="10" t="n"/>
      <c r="AI9" s="10" t="inlineStr">
        <is>
          <t>Personas realmente ocupadas; no equiparar vocales, puestos RPT o apoyo ministerial con plantilla</t>
        </is>
      </c>
      <c r="AJ9" s="10" t="inlineStr">
        <is>
          <t>Pendiente: sin cifra de personal ocupado verificada en el conjunto actual</t>
        </is>
      </c>
      <c r="AK9" s="10" t="n"/>
      <c r="AL9" s="12" t="n"/>
      <c r="AM9" s="10" t="n"/>
      <c r="AN9" s="10" t="n"/>
      <c r="AO9" s="10" t="inlineStr">
        <is>
          <t>Pendiente: sin coste de personal individual verificado en el conjunto actual</t>
        </is>
      </c>
      <c r="AP9" s="10" t="n"/>
      <c r="AQ9" s="12" t="n"/>
      <c r="AR9" s="10" t="n"/>
      <c r="AS9" s="10" t="n"/>
      <c r="AT9" s="10" t="n"/>
      <c r="AU9" s="10" t="n"/>
      <c r="AV9" s="10" t="inlineStr">
        <is>
          <t>Pendiente: no se ha verificado gasto salarial ejecutado individual en esta versión</t>
        </is>
      </c>
      <c r="AW9" s="10" t="inlineStr">
        <is>
          <t>SIN CIFRA INDIVIDUAL IDENTIFICADA de presupuesto, personal ocupado y salarios ejecutados en fuentes revisadas. No significa cero ni prueba de que nada esté publicado.</t>
        </is>
      </c>
      <c r="AX9" s="14" t="n"/>
      <c r="AY9" s="14" t="n"/>
      <c r="AZ9" s="14" t="n"/>
      <c r="BA9" s="14" t="n"/>
      <c r="BB9" s="14" t="inlineStr">
        <is>
          <t>Apoyo ministerial/departamental indicado en el lote y norma de la ficha; gasto individual no desglosado verificado. No repartir gasto total del ministerio. Secretaría y medios del Ministerio de Educación (SG Convivencia); órgano colegiado sin plantilla propia publicada</t>
        </is>
      </c>
      <c r="BC9" s="10" t="inlineStr">
        <is>
          <t>Funciones consultivas revisadas: Estudios, asesoramiento e informes sobre convivencia escolar</t>
        </is>
      </c>
      <c r="BD9" s="10" t="inlineStr">
        <is>
          <t>No trámite obligatorio general de aprobación de leyes identificado en las funciones revisadas</t>
        </is>
      </c>
      <c r="BE9" s="10" t="inlineStr">
        <is>
          <t>No consentimiento favorable obligatorio o vinculación identificado en dichas funciones</t>
        </is>
      </c>
      <c r="BF9" s="10" t="inlineStr">
        <is>
          <t>No veto legal a aprobación de leyes atribuido por las funciones revisadas. Alcance limitado a norma revisada, no certificación de ausencia de cualquier norma sectorial posterior.</t>
        </is>
      </c>
      <c r="BG9" s="10" t="inlineStr">
        <is>
          <t>RD 275/2007 arts 1.2,2</t>
        </is>
      </c>
      <c r="BH9" s="10" t="inlineStr">
        <is>
          <t>https://www.boe.es/eli/es/rd/2007/02/23/275</t>
        </is>
      </c>
      <c r="BI9" s="12" t="n"/>
      <c r="BJ9" s="12" t="n"/>
      <c r="BK9" s="12" t="n"/>
      <c r="BL9" s="12" t="n"/>
      <c r="BM9" s="10" t="n"/>
      <c r="BN9" s="10" t="n"/>
      <c r="BO9" s="12" t="n"/>
      <c r="BP9" s="12" t="n"/>
      <c r="BQ9" s="12" t="n"/>
      <c r="BR9" s="12" t="n"/>
      <c r="BS9" s="12" t="n"/>
      <c r="BT9" s="12" t="n"/>
      <c r="BU9" s="12" t="n"/>
      <c r="BV9" s="27" t="inlineStr">
        <is>
          <t>No útil</t>
        </is>
      </c>
      <c r="BW9" s="27" t="inlineStr">
        <is>
          <t>Suprimir</t>
        </is>
      </c>
      <c r="BX9" s="27" t="inlineStr">
        <is>
          <t>Consultivo o participación</t>
        </is>
      </c>
      <c r="BY9" s="27" t="inlineStr">
        <is>
          <t>Organismo estatal de referencia. 14 comunidades tienen el suyo propio; 15 organismos sobre este tema entre el Estado y las CCAA (verificados).</t>
        </is>
      </c>
      <c r="BZ9" s="27" t="inlineStr">
        <is>
          <t>No</t>
        </is>
      </c>
      <c r="CA9" s="27" t="inlineStr">
        <is>
          <t>Parcial</t>
        </is>
      </c>
      <c r="CB9" s="27" t="inlineStr">
        <is>
          <t>Observatorio, consejo o comisión: el P100 los cierra salvo que su ministerio demuestre que su trabajo cambia decisiones o mejora un servicio; publicar informes no cuenta.</t>
        </is>
      </c>
      <c r="CC9" s="27" t="inlineStr">
        <is>
          <t>Explícito en el P100: Costes del Estado 2</t>
        </is>
      </c>
      <c r="CD9" s="27" t="inlineStr">
        <is>
          <t>Estructura ordinaria del ministerio, si alguna función resultara imprescindible</t>
        </is>
      </c>
      <c r="CE9" s="27" t="inlineStr">
        <is>
          <t>Observatorios de convivencia escolar</t>
        </is>
      </c>
      <c r="CF9" s="28" t="n">
        <v>15</v>
      </c>
      <c r="CG9" s="27" t="inlineStr">
        <is>
          <t>Apoyo: Secretaría: titular de la SG del Centro Nacional de Innovación e Investigación Educativa (art. 3.1.d RD 275/2007, redacción RD 3/2018); personal por redistribución de efectivos del Ministerio de Educación. vocales: 27.</t>
        </is>
      </c>
      <c r="CH9" s="29">
        <f>IF(AND(ISNUMBER(BP9),ISNUMBER(AG9),AG9&gt;0),BP9*1000000/AG9,"")</f>
        <v/>
      </c>
      <c r="CI9" s="12" t="n"/>
      <c r="CJ9" s="12" t="n"/>
      <c r="CK9" s="12" t="n"/>
      <c r="CL9" s="12" t="n"/>
      <c r="CM9" s="12" t="n"/>
      <c r="CN9" s="12" t="n"/>
      <c r="CO9" s="12" t="n"/>
      <c r="CP9" s="12" t="n"/>
      <c r="CQ9" s="12" t="n"/>
      <c r="CR9" s="12" t="n"/>
      <c r="CS9" s="12" t="n"/>
    </row>
    <row r="10">
      <c r="A10" s="10" t="n">
        <v>9</v>
      </c>
      <c r="B10" s="10" t="inlineStr">
        <is>
          <t>Estatal</t>
        </is>
      </c>
      <c r="C10" s="10" t="inlineStr">
        <is>
          <t>Estado</t>
        </is>
      </c>
      <c r="D10" s="10" t="inlineStr">
        <is>
          <t>Zapatero</t>
        </is>
      </c>
      <c r="E10" s="10" t="inlineStr">
        <is>
          <t>Observatorio de la Vida Militar</t>
        </is>
      </c>
      <c r="F10" s="10" t="inlineStr">
        <is>
          <t>Órgano nuevo; constitución efectiva 14/01/2014 bajo Rajoy</t>
        </is>
      </c>
      <c r="G10" s="10" t="inlineStr">
        <is>
          <t>2011-07-27</t>
        </is>
      </c>
      <c r="H10" s="10" t="inlineStr">
        <is>
          <t>LO 9/2011</t>
        </is>
      </c>
      <c r="I10" s="10" t="inlineStr">
        <is>
          <t>Analizar vida militar, derechos y condiciones de los miembros de Fuerzas Armadas; presentar memorias a las Cortes.</t>
        </is>
      </c>
      <c r="J10" s="10" t="inlineStr">
        <is>
          <t>Juicio: supervisión y asesoramiento real, no poder de mando militar ni sanción. Adscripción parlamentaria y memorias previstas por ley.</t>
        </is>
      </c>
      <c r="K10" s="11" t="n"/>
      <c r="L10" s="10" t="n"/>
      <c r="M10" s="10" t="n"/>
      <c r="N10" s="10" t="n"/>
      <c r="O10" s="10" t="inlineStr">
        <is>
          <t>Sin cifra propia actual verificada</t>
        </is>
      </c>
      <c r="P10" s="12" t="n"/>
      <c r="Q10" s="12" t="n"/>
      <c r="R10" s="10" t="inlineStr">
        <is>
          <t>No se ha obtenido dotación individual actual. Apoyo material y administrativo desde Defensa; no atribuirle todo el programa ministerial.</t>
        </is>
      </c>
      <c r="S10" s="10" t="inlineStr">
        <is>
          <t>31/08/2026, salvo indicación distinta</t>
        </is>
      </c>
      <c r="T10" s="10" t="inlineStr">
        <is>
          <t>Creado 2011, constituido 2014.</t>
        </is>
      </c>
      <c r="U10" s="10" t="inlineStr">
        <is>
          <t>Distinguir creación legal de puesta en funcionamiento; no se ha cuantificado personal propio.</t>
        </is>
      </c>
      <c r="V10" s="10" t="inlineStr">
        <is>
          <t>No se ha identificado relación en esta revisión (no certifica ausencia)</t>
        </is>
      </c>
      <c r="W10" s="10" t="n"/>
      <c r="X10" s="10" t="inlineStr">
        <is>
          <t>Revisión cualitativa del mandato y estado de las 95 fichas; no auditoría exhaustiva de funciones ni proyectos.</t>
        </is>
      </c>
      <c r="Y10" s="10" t="n"/>
      <c r="Z10" s="30" t="inlineStr">
        <is>
          <t>https://www.boe.es/diario_boe/txt.php?id=BOE-A-2011-12961
https://www.defensa.gob.es/gabinete/notasPrensa/2014/01/DGC-140114-constitucion-observatorio-01.html
https://www.boe.es/eli/es/lo/2011/07/27/9/con</t>
        </is>
      </c>
      <c r="AA10" s="12" t="n"/>
      <c r="AB10" s="10" t="n"/>
      <c r="AC10" s="10" t="n"/>
      <c r="AD10" s="10" t="n"/>
      <c r="AE10" s="13" t="inlineStr">
        <is>
          <t>https://files.instinct.com/q91pr53q4umo-entidades-publicas-poder-y-presupuesto</t>
        </is>
      </c>
      <c r="AF10" s="10" t="inlineStr">
        <is>
          <t>12/10/2026</t>
        </is>
      </c>
      <c r="AG10" s="10" t="n"/>
      <c r="AH10" s="10" t="n"/>
      <c r="AI10" s="10" t="inlineStr">
        <is>
          <t>Personas realmente ocupadas; no equiparar vocales, puestos RPT o apoyo ministerial con plantilla</t>
        </is>
      </c>
      <c r="AJ10" s="10" t="inlineStr">
        <is>
          <t>Pendiente: sin cifra de personal ocupado verificada en el conjunto actual</t>
        </is>
      </c>
      <c r="AK10" s="10" t="n"/>
      <c r="AL10" s="12" t="n"/>
      <c r="AM10" s="10" t="n"/>
      <c r="AN10" s="10" t="n"/>
      <c r="AO10" s="10" t="inlineStr">
        <is>
          <t>Pendiente: sin coste de personal individual verificado en el conjunto actual</t>
        </is>
      </c>
      <c r="AP10" s="10" t="n"/>
      <c r="AQ10" s="12" t="n"/>
      <c r="AR10" s="10" t="n"/>
      <c r="AS10" s="10" t="n"/>
      <c r="AT10" s="10" t="n"/>
      <c r="AU10" s="10" t="n"/>
      <c r="AV10" s="10" t="inlineStr">
        <is>
          <t>Pendiente: no se ha verificado gasto salarial ejecutado individual en esta versión</t>
        </is>
      </c>
      <c r="AW10" s="10" t="inlineStr">
        <is>
          <t>SIN CIFRA INDIVIDUAL IDENTIFICADA de presupuesto, personal ocupado y salarios ejecutados en fuentes revisadas. No significa cero ni prueba de que nada esté publicado.</t>
        </is>
      </c>
      <c r="AX10" s="14" t="n"/>
      <c r="AY10" s="14" t="n"/>
      <c r="AZ10" s="14" t="n"/>
      <c r="BA10" s="14" t="n"/>
      <c r="BB10" s="14" t="inlineStr">
        <is>
          <t>Apoyo ministerial/departamental indicado en el lote y norma de la ficha; gasto individual no desglosado verificado. No repartir gasto total del ministerio. Apoyo material y administrativo del Ministerio de Defensa</t>
        </is>
      </c>
      <c r="BC10" s="10" t="inlineStr">
        <is>
          <t>Asesoramiento, análisis e informes sobre vida militar; memoria a Cortes</t>
        </is>
      </c>
      <c r="BD10" s="10" t="inlineStr">
        <is>
          <t>No informe preceptivo general sobre aprobación de leyes identificado en las funciones revisadas</t>
        </is>
      </c>
      <c r="BE10" s="10" t="inlineStr">
        <is>
          <t>No consentimiento favorable o vinculación normativa establecido en funciones revisadas</t>
        </is>
      </c>
      <c r="BF10" s="10" t="inlineStr">
        <is>
          <t>No poder de veto legislativo atribuido en funciones revisadas. Proponer cambios, informar a Cortes o participar no equivale a aprobar leyes; no certifica ausencia de reglas sectoriales posteriores.</t>
        </is>
      </c>
      <c r="BG10" s="10" t="inlineStr">
        <is>
          <t>LO9/2011 arts 53,54</t>
        </is>
      </c>
      <c r="BH10" s="10" t="inlineStr">
        <is>
          <t>https://www.boe.es/diario_boe/txt.php?id=BOE-A-2011-12961</t>
        </is>
      </c>
      <c r="BI10" s="12" t="n"/>
      <c r="BJ10" s="12" t="n"/>
      <c r="BK10" s="12" t="n"/>
      <c r="BL10" s="12" t="n"/>
      <c r="BM10" s="10" t="n"/>
      <c r="BN10" s="10" t="n"/>
      <c r="BO10" s="12" t="n"/>
      <c r="BP10" s="12" t="n"/>
      <c r="BQ10" s="12" t="n"/>
      <c r="BR10" s="12" t="n"/>
      <c r="BS10" s="12" t="n"/>
      <c r="BT10" s="12" t="n"/>
      <c r="BU10" s="12" t="n"/>
      <c r="BV10" s="27" t="inlineStr">
        <is>
          <t>No útil</t>
        </is>
      </c>
      <c r="BW10" s="27" t="inlineStr">
        <is>
          <t>Suprimir</t>
        </is>
      </c>
      <c r="BX10" s="27" t="inlineStr">
        <is>
          <t>Consultivo o participación</t>
        </is>
      </c>
      <c r="BY10" s="12" t="n"/>
      <c r="BZ10" s="27" t="inlineStr">
        <is>
          <t>No</t>
        </is>
      </c>
      <c r="CA10" s="27" t="inlineStr">
        <is>
          <t>Acreditada</t>
        </is>
      </c>
      <c r="CB10" s="27" t="inlineStr">
        <is>
          <t>Observatorio, consejo o comisión: el P100 los cierra salvo que su ministerio demuestre que su trabajo cambia decisiones o mejora un servicio; publicar informes no cuenta.</t>
        </is>
      </c>
      <c r="CC10" s="27" t="inlineStr">
        <is>
          <t>Explícito en el P100: Costes del Estado 2</t>
        </is>
      </c>
      <c r="CD10" s="27" t="inlineStr">
        <is>
          <t>Estructura ordinaria del ministerio, si alguna función resultara imprescindible</t>
        </is>
      </c>
      <c r="CE10" s="27" t="inlineStr">
        <is>
          <t>Vida militar</t>
        </is>
      </c>
      <c r="CF10" s="12" t="n"/>
      <c r="CG10" s="27" t="inlineStr">
        <is>
          <t>Apoyo: Ministerio de Defensa: sede, apoyo administrativo y «órgano de trabajo permanente» (art. 53.2 LO 9/2011). puestos asignados según fuente oficial: 7. vocales: 9. miembros: no retribuidos (art. 55.1 LO 9/2011: «La pertenencia al Observatorio no será retribuida»). gasto con nombre propio: 2014: 5.212 EUR abonados por la Subsecretaría de Defensa (RED n.º 319, 2015, https://working.mde.es/Galerias/gabinete/red/2015/red-319-observatorio-vida-militar.pdf) | 2015: autorización de gasto de 55.000 EUR para dietas en la Sección 14-Defensa (Ley 36/2014 de PGE) y presupuesto 2016 del OVM de 55.979,10 EUR sin partida en la Ley 48/2015 (Memoria-Informe 2015 del OVM, https://www.prevencionintegral.com/sites/default/files/noticia/36030/field_adjuntos/pdft076-16observatoriovidamilitar20151.pdf).</t>
        </is>
      </c>
      <c r="CH10" s="29">
        <f>IF(AND(ISNUMBER(BP10),ISNUMBER(AG10),AG10&gt;0),BP10*1000000/AG10,"")</f>
        <v/>
      </c>
      <c r="CI10" s="12" t="n"/>
      <c r="CJ10" s="12" t="n"/>
      <c r="CK10" s="12" t="n"/>
      <c r="CL10" s="12" t="n"/>
      <c r="CM10" s="12" t="n"/>
      <c r="CN10" s="12" t="n"/>
      <c r="CO10" s="12" t="n"/>
      <c r="CP10" s="12" t="n"/>
      <c r="CQ10" s="12" t="n"/>
      <c r="CR10" s="12" t="n"/>
      <c r="CS10" s="12" t="n"/>
    </row>
    <row r="11">
      <c r="A11" s="10" t="n">
        <v>10</v>
      </c>
      <c r="B11" s="10" t="inlineStr">
        <is>
          <t>Estatal</t>
        </is>
      </c>
      <c r="C11" s="10" t="inlineStr">
        <is>
          <t>Estado</t>
        </is>
      </c>
      <c r="D11" s="10" t="inlineStr">
        <is>
          <t>Zapatero</t>
        </is>
      </c>
      <c r="E11" s="10" t="inlineStr">
        <is>
          <t>Observatorio Universitario de Becas, Ayudas al Estudio y Rendimiento Académico</t>
        </is>
      </c>
      <c r="F11" s="10" t="inlineStr">
        <is>
          <t>Órgano colegiado nuevo</t>
        </is>
      </c>
      <c r="G11" s="10" t="inlineStr">
        <is>
          <t>2010-10-01</t>
        </is>
      </c>
      <c r="H11" s="10" t="inlineStr">
        <is>
          <t>RD 1220/2010</t>
        </is>
      </c>
      <c r="I11" s="10" t="inlineStr">
        <is>
          <t>Estudiar impacto de becas en equidad y rendimiento, informar y proponer mejoras.</t>
        </is>
      </c>
      <c r="J11" s="10" t="inlineStr">
        <is>
          <t>Juicio: consultivo, sin facultad de otorgar becas ni obligar al Gobierno. La norma prueba función, no actividad actual.</t>
        </is>
      </c>
      <c r="K11" s="11" t="n"/>
      <c r="L11" s="10" t="n"/>
      <c r="M11" s="10" t="n"/>
      <c r="N11" s="10" t="n"/>
      <c r="O11" s="10" t="inlineStr">
        <is>
          <t>Sin cifra propia actual verificada</t>
        </is>
      </c>
      <c r="P11" s="12" t="n"/>
      <c r="Q11" s="12" t="n"/>
      <c r="R11" s="10" t="inlineStr">
        <is>
          <t>Sin línea individual identificada en las fuentes consultadas; medios ministeriales. El importe de las becas nacionales NO es su presupuesto.</t>
        </is>
      </c>
      <c r="S11" s="10" t="inlineStr">
        <is>
          <t>31/08/2026, salvo indicación distinta</t>
        </is>
      </c>
      <c r="T11" s="10" t="inlineStr">
        <is>
          <t>Norma consultada; actividad 2026 no verificada.</t>
        </is>
      </c>
      <c r="U11" s="10" t="inlineStr">
        <is>
          <t>No hay evidencia suficiente para denominarlo vacío o para afirmar que sigue reunido en 2026.</t>
        </is>
      </c>
      <c r="V11" s="10" t="inlineStr">
        <is>
          <t>No se ha identificado relación en esta revisión (no certifica ausencia)</t>
        </is>
      </c>
      <c r="W11" s="10" t="n"/>
      <c r="X11" s="10" t="inlineStr">
        <is>
          <t>Revisión cualitativa del mandato y estado de las 95 fichas; no auditoría exhaustiva de funciones ni proyectos.</t>
        </is>
      </c>
      <c r="Y11" s="10" t="n"/>
      <c r="Z11" s="30" t="inlineStr">
        <is>
          <t>https://www.boe.es/buscar/act.php?id=BOE-A-2010-15786
https://www.ull.es/portal/normativa/normativa/real-decreto-1220-2010-de-1-de-octubre-por-el-que-se-crea-el-observatorio-universitario-de-becas-ayudas-al-estudio-y-rendimiento-academico/
https://www.boe.es/eli/es/rd/2010/10/01/1220/con</t>
        </is>
      </c>
      <c r="AA11" s="12" t="n"/>
      <c r="AB11" s="10" t="n"/>
      <c r="AC11" s="10" t="n"/>
      <c r="AD11" s="10" t="n"/>
      <c r="AE11" s="13" t="inlineStr">
        <is>
          <t>https://files.instinct.com/q91pr53q4umo-entidades-publicas-poder-y-presupuesto</t>
        </is>
      </c>
      <c r="AF11" s="10" t="inlineStr">
        <is>
          <t>12/10/2026</t>
        </is>
      </c>
      <c r="AG11" s="10" t="n"/>
      <c r="AH11" s="10" t="n"/>
      <c r="AI11" s="10" t="inlineStr">
        <is>
          <t>Personas realmente ocupadas; no equiparar vocales, puestos RPT o apoyo ministerial con plantilla</t>
        </is>
      </c>
      <c r="AJ11" s="10" t="inlineStr">
        <is>
          <t>Pendiente: sin cifra de personal ocupado verificada en el conjunto actual</t>
        </is>
      </c>
      <c r="AK11" s="10" t="n"/>
      <c r="AL11" s="12" t="n"/>
      <c r="AM11" s="10" t="n"/>
      <c r="AN11" s="10" t="n"/>
      <c r="AO11" s="10" t="inlineStr">
        <is>
          <t>Pendiente: sin coste de personal individual verificado en el conjunto actual</t>
        </is>
      </c>
      <c r="AP11" s="10" t="n"/>
      <c r="AQ11" s="12" t="n"/>
      <c r="AR11" s="10" t="n"/>
      <c r="AS11" s="10" t="n"/>
      <c r="AT11" s="10" t="n"/>
      <c r="AU11" s="10" t="n"/>
      <c r="AV11" s="10" t="inlineStr">
        <is>
          <t>Pendiente: no se ha verificado gasto salarial ejecutado individual en esta versión</t>
        </is>
      </c>
      <c r="AW11" s="10" t="inlineStr">
        <is>
          <t>SIN CIFRA INDIVIDUAL IDENTIFICADA de presupuesto, personal ocupado y salarios ejecutados en fuentes revisadas. No significa cero ni prueba de que nada esté publicado.</t>
        </is>
      </c>
      <c r="AX11" s="14" t="n"/>
      <c r="AY11" s="14" t="n"/>
      <c r="AZ11" s="14" t="n"/>
      <c r="BA11" s="14" t="n"/>
      <c r="BB11" s="14" t="inlineStr">
        <is>
          <t>Apoyo ministerial/departamental indicado en el lote y norma de la ficha; gasto individual no desglosado verificado. No repartir gasto total del ministerio. Medios del Ministerio de Universidades</t>
        </is>
      </c>
      <c r="BC11" s="10" t="inlineStr">
        <is>
          <t>Estadísticas e informes sobre becas; ayuda técnica a decisiones de Congreso/Senado, no autorización de leyes</t>
        </is>
      </c>
      <c r="BD11" s="10" t="inlineStr">
        <is>
          <t>No informe obligatorio general de aprobación de leyes identificado en funciones revisadas</t>
        </is>
      </c>
      <c r="BE11" s="10" t="inlineStr">
        <is>
          <t>No consentimiento favorable obligatorio establecido en funciones revisadas</t>
        </is>
      </c>
      <c r="BF11" s="10" t="inlineStr">
        <is>
          <t>Sin veto normativo atribuido por las funciones revisadas; informar a las Cortes o asesorar no equivale a aprobar una ley. Alcance limitado a disposición revisada, no auditoría de todas las normas sectoriales posteriores.</t>
        </is>
      </c>
      <c r="BG11" s="10" t="inlineStr">
        <is>
          <t>RD 1220/2010 arts.1.3,2</t>
        </is>
      </c>
      <c r="BH11" s="10" t="inlineStr">
        <is>
          <t>https://www.boe.es/buscar/act.php?id=BOE-A-2010-15786</t>
        </is>
      </c>
      <c r="BI11" s="12" t="n"/>
      <c r="BJ11" s="12" t="n"/>
      <c r="BK11" s="12" t="n"/>
      <c r="BL11" s="12" t="n"/>
      <c r="BM11" s="10" t="n"/>
      <c r="BN11" s="10" t="n"/>
      <c r="BO11" s="12" t="n"/>
      <c r="BP11" s="12" t="n"/>
      <c r="BQ11" s="12" t="n"/>
      <c r="BR11" s="12" t="n"/>
      <c r="BS11" s="12" t="n"/>
      <c r="BT11" s="12" t="n"/>
      <c r="BU11" s="12" t="n"/>
      <c r="BV11" s="27" t="inlineStr">
        <is>
          <t>No útil</t>
        </is>
      </c>
      <c r="BW11" s="27" t="inlineStr">
        <is>
          <t>Suprimir</t>
        </is>
      </c>
      <c r="BX11" s="27" t="inlineStr">
        <is>
          <t>Consultivo o participación</t>
        </is>
      </c>
      <c r="BY11" s="12" t="n"/>
      <c r="BZ11" s="27" t="inlineStr">
        <is>
          <t>No</t>
        </is>
      </c>
      <c r="CA11" s="27" t="inlineStr">
        <is>
          <t>No acreditada</t>
        </is>
      </c>
      <c r="CB11" s="27" t="inlineStr">
        <is>
          <t>Observatorio, consejo o comisión: el P100 los cierra salvo que su ministerio demuestre que su trabajo cambia decisiones o mejora un servicio; publicar informes no cuenta.</t>
        </is>
      </c>
      <c r="CC11" s="27" t="inlineStr">
        <is>
          <t>Explícito en el P100: Costes del Estado 2</t>
        </is>
      </c>
      <c r="CD11" s="27" t="inlineStr">
        <is>
          <t>Estructura ordinaria del ministerio, si alguna función resultara imprescindible</t>
        </is>
      </c>
      <c r="CE11" s="27" t="inlineStr">
        <is>
          <t>Becas universitarias</t>
        </is>
      </c>
      <c r="CF11" s="12" t="n"/>
      <c r="CG11" s="27" t="inlineStr">
        <is>
          <t>Apoyo: Unidad Técnica y Secretaría Permanente atendidas por personal de la SG de Análisis, Estudios y Prospectiva Universitaria (art. 7.2 y DA única RD 1220/2010). vocales: 18.</t>
        </is>
      </c>
      <c r="CH11" s="29">
        <f>IF(AND(ISNUMBER(BP11),ISNUMBER(AG11),AG11&gt;0),BP11*1000000/AG11,"")</f>
        <v/>
      </c>
      <c r="CI11" s="12" t="n"/>
      <c r="CJ11" s="12" t="n"/>
      <c r="CK11" s="12" t="n"/>
      <c r="CL11" s="12" t="n"/>
      <c r="CM11" s="12" t="n"/>
      <c r="CN11" s="12" t="n"/>
      <c r="CO11" s="12" t="n"/>
      <c r="CP11" s="12" t="n"/>
      <c r="CQ11" s="12" t="n"/>
      <c r="CR11" s="12" t="n"/>
      <c r="CS11" s="12" t="n"/>
    </row>
    <row r="12">
      <c r="A12" s="10" t="n">
        <v>11</v>
      </c>
      <c r="B12" s="10" t="inlineStr">
        <is>
          <t>Estatal</t>
        </is>
      </c>
      <c r="C12" s="10" t="inlineStr">
        <is>
          <t>Estado</t>
        </is>
      </c>
      <c r="D12" s="10" t="inlineStr">
        <is>
          <t>Zapatero</t>
        </is>
      </c>
      <c r="E12" s="10" t="inlineStr">
        <is>
          <t>Observatorio del Empleo Público</t>
        </is>
      </c>
      <c r="F12" s="10" t="inlineStr">
        <is>
          <t>Órgano nuevo</t>
        </is>
      </c>
      <c r="G12" s="10" t="inlineStr">
        <is>
          <t>2010-07-02</t>
        </is>
      </c>
      <c r="H12" s="10" t="inlineStr">
        <is>
          <t>RD 868/2010</t>
        </is>
      </c>
      <c r="I12" s="10" t="inlineStr">
        <is>
          <t>Estudiar empleo público y recursos humanos; información y propuestas.</t>
        </is>
      </c>
      <c r="J12" s="10" t="inlineStr">
        <is>
          <t>Juicio: técnico/consultivo; no gestiona plantillas ni decide ofertas públicas. Actividad reciente no acreditada.</t>
        </is>
      </c>
      <c r="K12" s="11" t="n"/>
      <c r="L12" s="10" t="n"/>
      <c r="M12" s="10" t="n"/>
      <c r="N12" s="10" t="n"/>
      <c r="O12" s="10" t="inlineStr">
        <is>
          <t>Sin cifra propia actual verificada</t>
        </is>
      </c>
      <c r="P12" s="12" t="n"/>
      <c r="Q12" s="12" t="n"/>
      <c r="R12" s="10" t="inlineStr">
        <is>
          <t>No se ha identificado línea individual; no equivale a presupuesto cero. Medios del departamento competente.</t>
        </is>
      </c>
      <c r="S12" s="10" t="inlineStr">
        <is>
          <t>31/08/2026, salvo indicación distinta</t>
        </is>
      </c>
      <c r="T12" s="10" t="inlineStr">
        <is>
          <t>Creación acreditada; continuidad operativa no verificada.</t>
        </is>
      </c>
      <c r="U12" s="10" t="inlineStr">
        <is>
          <t>Sin auditoría de reuniones, dotación y productos actuales, no cabe llamarlo entidad vacía.</t>
        </is>
      </c>
      <c r="V12" s="10" t="inlineStr">
        <is>
          <t>No se ha identificado relación en esta revisión (no certifica ausencia)</t>
        </is>
      </c>
      <c r="W12" s="10" t="n"/>
      <c r="X12" s="10" t="inlineStr">
        <is>
          <t>Revisión cualitativa del mandato y estado de las 95 fichas; no auditoría exhaustiva de funciones ni proyectos.</t>
        </is>
      </c>
      <c r="Y12" s="10" t="n"/>
      <c r="Z12" s="10" t="inlineStr">
        <is>
          <t>https://www.boe.es/eli/es/rd/2010/07/02/868
https://www.lamoncloa.gob.es/consejodeministros/referencias/paginas/2010/02072010referenciaconsejoministros.aspx</t>
        </is>
      </c>
      <c r="AA12" s="12" t="n"/>
      <c r="AB12" s="10" t="n"/>
      <c r="AC12" s="10" t="n"/>
      <c r="AD12" s="10" t="n"/>
      <c r="AE12" s="13" t="inlineStr">
        <is>
          <t>https://files.instinct.com/q91pr53q4umo-entidades-publicas-poder-y-presupuesto</t>
        </is>
      </c>
      <c r="AF12" s="10" t="inlineStr">
        <is>
          <t>12/10/2026</t>
        </is>
      </c>
      <c r="AG12" s="10" t="n"/>
      <c r="AH12" s="10" t="n"/>
      <c r="AI12" s="10" t="inlineStr">
        <is>
          <t>Personas realmente ocupadas; no equiparar vocales, puestos RPT o apoyo ministerial con plantilla</t>
        </is>
      </c>
      <c r="AJ12" s="10" t="inlineStr">
        <is>
          <t>Pendiente: sin cifra de personal ocupado verificada en el conjunto actual</t>
        </is>
      </c>
      <c r="AK12" s="10" t="n"/>
      <c r="AL12" s="12" t="n"/>
      <c r="AM12" s="10" t="n"/>
      <c r="AN12" s="10" t="n"/>
      <c r="AO12" s="10" t="inlineStr">
        <is>
          <t>Pendiente: sin coste de personal individual verificado en el conjunto actual</t>
        </is>
      </c>
      <c r="AP12" s="10" t="n"/>
      <c r="AQ12" s="12" t="n"/>
      <c r="AR12" s="10" t="n"/>
      <c r="AS12" s="10" t="n"/>
      <c r="AT12" s="10" t="n"/>
      <c r="AU12" s="10" t="n"/>
      <c r="AV12" s="10" t="inlineStr">
        <is>
          <t>Pendiente: no se ha verificado gasto salarial ejecutado individual en esta versión</t>
        </is>
      </c>
      <c r="AW12" s="10" t="inlineStr">
        <is>
          <t>SIN CIFRA INDIVIDUAL IDENTIFICADA de presupuesto, personal ocupado y salarios ejecutados en fuentes revisadas. No significa cero ni prueba de que nada esté publicado.</t>
        </is>
      </c>
      <c r="AX12" s="14" t="n"/>
      <c r="AY12" s="14" t="n"/>
      <c r="AZ12" s="14" t="n"/>
      <c r="BA12" s="14" t="n"/>
      <c r="BB12" s="14" t="inlineStr">
        <is>
          <t>Apoyo ministerial/departamental indicado en el lote y norma de la ficha; gasto individual no desglosado verificado. No repartir gasto total del ministerio. Medios del Ministerio para la Transformación Digital y de la Función Pública</t>
        </is>
      </c>
      <c r="BC12" s="10" t="inlineStr">
        <is>
          <t>Estudios, propuestas e informe anual sobre empleo público; no autorización de leyes</t>
        </is>
      </c>
      <c r="BD12" s="10" t="inlineStr">
        <is>
          <t>No informe obligatorio general de aprobación de leyes identificado en funciones revisadas</t>
        </is>
      </c>
      <c r="BE12" s="10" t="inlineStr">
        <is>
          <t>No consentimiento favorable obligatorio establecido en funciones revisadas</t>
        </is>
      </c>
      <c r="BF12" s="10" t="inlineStr">
        <is>
          <t>Sin veto normativo atribuido por las funciones revisadas; informar a las Cortes o asesorar no equivale a aprobar una ley. Alcance limitado a disposición revisada, no auditoría de todas las normas sectoriales posteriores.</t>
        </is>
      </c>
      <c r="BG12" s="10" t="inlineStr">
        <is>
          <t>RD 868/2010 art.3</t>
        </is>
      </c>
      <c r="BH12" s="10" t="inlineStr">
        <is>
          <t>https://www.boe.es/eli/es/rd/2010/07/02/868</t>
        </is>
      </c>
      <c r="BI12" s="12" t="n"/>
      <c r="BJ12" s="12" t="n"/>
      <c r="BK12" s="12" t="n"/>
      <c r="BL12" s="12" t="n"/>
      <c r="BM12" s="10" t="n"/>
      <c r="BN12" s="10" t="n"/>
      <c r="BO12" s="12" t="n"/>
      <c r="BP12" s="12" t="n"/>
      <c r="BQ12" s="12" t="n"/>
      <c r="BR12" s="12" t="n"/>
      <c r="BS12" s="12" t="n"/>
      <c r="BT12" s="12" t="n"/>
      <c r="BU12" s="12" t="n"/>
      <c r="BV12" s="27" t="inlineStr">
        <is>
          <t>No útil</t>
        </is>
      </c>
      <c r="BW12" s="27" t="inlineStr">
        <is>
          <t>Suprimir</t>
        </is>
      </c>
      <c r="BX12" s="27" t="inlineStr">
        <is>
          <t>Consultivo o participación</t>
        </is>
      </c>
      <c r="BY12" s="12" t="n"/>
      <c r="BZ12" s="27" t="inlineStr">
        <is>
          <t>No</t>
        </is>
      </c>
      <c r="CA12" s="27" t="inlineStr">
        <is>
          <t>No acreditada</t>
        </is>
      </c>
      <c r="CB12" s="27" t="inlineStr">
        <is>
          <t>Observatorio, consejo o comisión: el P100 los cierra salvo que su ministerio demuestre que su trabajo cambia decisiones o mejora un servicio; publicar informes no cuenta.</t>
        </is>
      </c>
      <c r="CC12" s="27" t="inlineStr">
        <is>
          <t>Explícito en el P100: Costes del Estado 2</t>
        </is>
      </c>
      <c r="CD12" s="27" t="inlineStr">
        <is>
          <t>Estructura ordinaria del ministerio, si alguna función resultara imprescindible</t>
        </is>
      </c>
      <c r="CE12" s="27" t="inlineStr">
        <is>
          <t>Empleo público</t>
        </is>
      </c>
      <c r="CF12" s="12" t="n"/>
      <c r="CG12" s="27" t="inlineStr">
        <is>
          <t>Apoyo: Secretariado: titular de una SG de la DG de la Función Pública (art. 4.1.e); medios técnicos, personales y materiales de la SE de Función Pública a través de la DG de la Función Pública (DA 2.ª.1 RD 868/2010). vocales: 21.</t>
        </is>
      </c>
      <c r="CH12" s="29">
        <f>IF(AND(ISNUMBER(BP12),ISNUMBER(AG12),AG12&gt;0),BP12*1000000/AG12,"")</f>
        <v/>
      </c>
      <c r="CI12" s="12" t="n"/>
      <c r="CJ12" s="12" t="n"/>
      <c r="CK12" s="12" t="n"/>
      <c r="CL12" s="12" t="n"/>
      <c r="CM12" s="12" t="n"/>
      <c r="CN12" s="12" t="n"/>
      <c r="CO12" s="12" t="n"/>
      <c r="CP12" s="12" t="n"/>
      <c r="CQ12" s="12" t="n"/>
      <c r="CR12" s="12" t="n"/>
      <c r="CS12" s="12" t="n"/>
    </row>
    <row r="13">
      <c r="A13" s="10" t="n">
        <v>12</v>
      </c>
      <c r="B13" s="10" t="inlineStr">
        <is>
          <t>Estatal</t>
        </is>
      </c>
      <c r="C13" s="10" t="inlineStr">
        <is>
          <t>Estado</t>
        </is>
      </c>
      <c r="D13" s="10" t="inlineStr">
        <is>
          <t>Zapatero</t>
        </is>
      </c>
      <c r="E13" s="10" t="inlineStr">
        <is>
          <t>Observatorio de la Internacionalización</t>
        </is>
      </c>
      <c r="F13" s="10" t="inlineStr">
        <is>
          <t>Órgano nuevo</t>
        </is>
      </c>
      <c r="G13" s="10" t="inlineStr">
        <is>
          <t>2009-03-27</t>
        </is>
      </c>
      <c r="H13" s="10" t="inlineStr">
        <is>
          <t>RD 430/2009</t>
        </is>
      </c>
      <c r="I13" s="10" t="inlineStr">
        <is>
          <t>Analizar comercio y desarrollo empresarial internacional; informe anual al Congreso.</t>
        </is>
      </c>
      <c r="J13" s="10" t="inlineStr">
        <is>
          <t>Juicio: consultivo/técnico, no poder de concesión ni regulación. El informe anual es una obligación legal, no prueba de que se haya cumplido hoy.</t>
        </is>
      </c>
      <c r="K13" s="11" t="n"/>
      <c r="L13" s="10" t="n"/>
      <c r="M13" s="10" t="n"/>
      <c r="N13" s="10" t="n"/>
      <c r="O13" s="10" t="inlineStr">
        <is>
          <t>Sin cifra propia actual verificada</t>
        </is>
      </c>
      <c r="P13" s="12" t="n"/>
      <c r="Q13" s="12" t="n"/>
      <c r="R13" s="10" t="inlineStr">
        <is>
          <t xml:space="preserve">Norma de creación: funcionamiento sin incremento de gasto, incluso asistencias. No se ha identificado línea autónoma actual; personal y secretaría ministeriales. </t>
        </is>
      </c>
      <c r="S13" s="10" t="inlineStr">
        <is>
          <t>31/08/2026, salvo indicación distinta</t>
        </is>
      </c>
      <c r="T13" s="10" t="inlineStr">
        <is>
          <t>Creación acreditada; actividad 2026 no verificada.</t>
        </is>
      </c>
      <c r="U13" s="10" t="inlineStr">
        <is>
          <t>No confundir con estudios de Cámara de España u observatorios de empresas multinacionales de otras entidades.</t>
        </is>
      </c>
      <c r="V13" s="10" t="inlineStr">
        <is>
          <t>No se ha identificado relación en esta revisión (no certifica ausencia)</t>
        </is>
      </c>
      <c r="W13" s="10" t="n"/>
      <c r="X13" s="10" t="inlineStr">
        <is>
          <t>Revisión cualitativa del mandato y estado de las 95 fichas; no auditoría exhaustiva de funciones ni proyectos.</t>
        </is>
      </c>
      <c r="Y13" s="10" t="n"/>
      <c r="Z13" s="30" t="inlineStr">
        <is>
          <t>https://www.boe.es/buscar/doc.php?id=BOE-A-2009-6645
https://www.boe.es/eli/es/rd/2009/03/27/430</t>
        </is>
      </c>
      <c r="AA13" s="12" t="n"/>
      <c r="AB13" s="10" t="n"/>
      <c r="AC13" s="10" t="n"/>
      <c r="AD13" s="10" t="n"/>
      <c r="AE13" s="13" t="inlineStr">
        <is>
          <t>https://files.instinct.com/q91pr53q4umo-entidades-publicas-poder-y-presupuesto</t>
        </is>
      </c>
      <c r="AF13" s="10" t="inlineStr">
        <is>
          <t>12/10/2026</t>
        </is>
      </c>
      <c r="AG13" s="10" t="n"/>
      <c r="AH13" s="10" t="n"/>
      <c r="AI13" s="10" t="inlineStr">
        <is>
          <t>Personas realmente ocupadas; no equiparar vocales, puestos RPT o apoyo ministerial con plantilla</t>
        </is>
      </c>
      <c r="AJ13" s="10" t="inlineStr">
        <is>
          <t>Pendiente: sin cifra de personal ocupado verificada en el conjunto actual</t>
        </is>
      </c>
      <c r="AK13" s="10" t="n"/>
      <c r="AL13" s="12" t="n"/>
      <c r="AM13" s="10" t="n"/>
      <c r="AN13" s="10" t="n"/>
      <c r="AO13" s="10" t="inlineStr">
        <is>
          <t>Pendiente: sin coste de personal individual verificado en el conjunto actual</t>
        </is>
      </c>
      <c r="AP13" s="10" t="n"/>
      <c r="AQ13" s="12" t="n"/>
      <c r="AR13" s="10" t="n"/>
      <c r="AS13" s="10" t="n"/>
      <c r="AT13" s="10" t="n"/>
      <c r="AU13" s="10" t="n"/>
      <c r="AV13" s="10" t="inlineStr">
        <is>
          <t>Pendiente: no se ha verificado gasto salarial ejecutado individual en esta versión</t>
        </is>
      </c>
      <c r="AW13" s="10" t="inlineStr">
        <is>
          <t>SIN CIFRA INDIVIDUAL IDENTIFICADA de presupuesto, personal ocupado y salarios ejecutados en fuentes revisadas. No significa cero ni prueba de que nada esté publicado.</t>
        </is>
      </c>
      <c r="AX13" s="14" t="n"/>
      <c r="AY13" s="14" t="n"/>
      <c r="AZ13" s="14" t="n"/>
      <c r="BA13" s="14" t="n"/>
      <c r="BB13" s="14" t="inlineStr">
        <is>
          <t>Apoyo ministerial/departamental indicado en el lote y norma de la ficha; gasto individual no desglosado verificado. No repartir gasto total del ministerio. Personal y secretaría ministeriales (RD 430/2009: funcionamiento sin incremento de gasto)</t>
        </is>
      </c>
      <c r="BC13" s="10" t="inlineStr">
        <is>
          <t>Análisis, propuestas e informe anual al Congreso sobre comercio internacional; no autorización de leyes</t>
        </is>
      </c>
      <c r="BD13" s="10" t="inlineStr">
        <is>
          <t>No informe obligatorio general de aprobación de leyes identificado en funciones revisadas</t>
        </is>
      </c>
      <c r="BE13" s="10" t="inlineStr">
        <is>
          <t>No consentimiento favorable obligatorio establecido en funciones revisadas</t>
        </is>
      </c>
      <c r="BF13" s="10" t="inlineStr">
        <is>
          <t>Sin veto normativo atribuido por las funciones revisadas; informar a las Cortes o asesorar no equivale a aprobar una ley. Alcance limitado a disposición revisada, no auditoría de todas las normas sectoriales posteriores.</t>
        </is>
      </c>
      <c r="BG13" s="10" t="inlineStr">
        <is>
          <t>RD 430/2009 art.3</t>
        </is>
      </c>
      <c r="BH13" s="10" t="inlineStr">
        <is>
          <t>https://www.boe.es/buscar/doc.php?id=BOE-A-2009-6645</t>
        </is>
      </c>
      <c r="BI13" s="12" t="n"/>
      <c r="BJ13" s="12" t="n"/>
      <c r="BK13" s="12" t="n"/>
      <c r="BL13" s="12" t="n"/>
      <c r="BM13" s="10" t="n"/>
      <c r="BN13" s="10" t="n"/>
      <c r="BO13" s="12" t="n"/>
      <c r="BP13" s="12" t="n"/>
      <c r="BQ13" s="12" t="n"/>
      <c r="BR13" s="12" t="n"/>
      <c r="BS13" s="12" t="n"/>
      <c r="BT13" s="12" t="n"/>
      <c r="BU13" s="12" t="n"/>
      <c r="BV13" s="27" t="inlineStr">
        <is>
          <t>No útil</t>
        </is>
      </c>
      <c r="BW13" s="27" t="inlineStr">
        <is>
          <t>Suprimir</t>
        </is>
      </c>
      <c r="BX13" s="27" t="inlineStr">
        <is>
          <t>Consultivo o participación</t>
        </is>
      </c>
      <c r="BY13" s="12" t="n"/>
      <c r="BZ13" s="27" t="inlineStr">
        <is>
          <t>No</t>
        </is>
      </c>
      <c r="CA13" s="27" t="inlineStr">
        <is>
          <t>No acreditada</t>
        </is>
      </c>
      <c r="CB13" s="27" t="inlineStr">
        <is>
          <t>Observatorio, consejo o comisión: el P100 los cierra salvo que su ministerio demuestre que su trabajo cambia decisiones o mejora un servicio; publicar informes no cuenta.</t>
        </is>
      </c>
      <c r="CC13" s="27" t="inlineStr">
        <is>
          <t>Explícito en el P100: Costes del Estado 2</t>
        </is>
      </c>
      <c r="CD13" s="27" t="inlineStr">
        <is>
          <t>Estructura ordinaria del ministerio, si alguna función resultara imprescindible</t>
        </is>
      </c>
      <c r="CE13" s="27" t="inlineStr">
        <is>
          <t>Internacionalización empresarial</t>
        </is>
      </c>
      <c r="CF13" s="12" t="n"/>
      <c r="CG13" s="27" t="inlineStr">
        <is>
          <t>Apoyo: Secretaría General Permanente: titular de la SG de Análisis, Estrategia y Evaluación de la SE de Comercio (art. 4.3); medios técnicos, personales y materiales de la SE de Comercio (DA única RD 430/2009). vocales: 24. miembros: no retribuidos (DA única RD 430/2009: el funcionamiento «no supondrá incremento de gasto, ya sea por indemnizaciones, asistencias»).</t>
        </is>
      </c>
      <c r="CH13" s="29">
        <f>IF(AND(ISNUMBER(BP13),ISNUMBER(AG13),AG13&gt;0),BP13*1000000/AG13,"")</f>
        <v/>
      </c>
      <c r="CI13" s="12" t="n"/>
      <c r="CJ13" s="12" t="n"/>
      <c r="CK13" s="12" t="n"/>
      <c r="CL13" s="12" t="n"/>
      <c r="CM13" s="12" t="n"/>
      <c r="CN13" s="12" t="n"/>
      <c r="CO13" s="12" t="n"/>
      <c r="CP13" s="12" t="n"/>
      <c r="CQ13" s="12" t="n"/>
      <c r="CR13" s="12" t="n"/>
      <c r="CS13" s="12" t="n"/>
    </row>
    <row r="14">
      <c r="A14" s="10" t="n">
        <v>13</v>
      </c>
      <c r="B14" s="10" t="inlineStr">
        <is>
          <t>Estatal</t>
        </is>
      </c>
      <c r="C14" s="10" t="inlineStr">
        <is>
          <t>Estado</t>
        </is>
      </c>
      <c r="D14" s="10" t="inlineStr">
        <is>
          <t>Zapatero</t>
        </is>
      </c>
      <c r="E14" s="10" t="inlineStr">
        <is>
          <t>Observatorio Estatal de Violencia sobre la Mujer</t>
        </is>
      </c>
      <c r="F14" s="10" t="inlineStr">
        <is>
          <t>Órgano colegiado nuevo</t>
        </is>
      </c>
      <c r="G14" s="10" t="inlineStr">
        <is>
          <t>2004-12-28</t>
        </is>
      </c>
      <c r="H14" s="10" t="inlineStr">
        <is>
          <t>LO 1/2004, art.30; RD 253/2006</t>
        </is>
      </c>
      <c r="I14" s="10" t="inlineStr">
        <is>
          <t>Asesorar, evaluar y elaborar informes sobre violencia de género, con informe anual al Gobierno y CCAA.</t>
        </is>
      </c>
      <c r="J14" s="10" t="inlineStr">
        <is>
          <t>Juicio: función técnica y de seguimiento real, sin sanciones, ni capacidad de ordenar a jueces o policía. XVIII informe anual 2024 publicado acredita actividad.</t>
        </is>
      </c>
      <c r="K14" s="11" t="n"/>
      <c r="L14" s="10" t="n"/>
      <c r="M14" s="10" t="n"/>
      <c r="N14" s="10" t="n"/>
      <c r="O14" s="10" t="inlineStr">
        <is>
          <t>Sin cifra propia actual verificada</t>
        </is>
      </c>
      <c r="P14" s="12" t="n"/>
      <c r="Q14" s="12" t="n"/>
      <c r="R14" s="10" t="inlineStr">
        <is>
          <t>No se ha identificado dotación individual en las fuentes consultadas. Se financia con medios del órgano matriz; no equivale a cero EUR y no se le atribuye todo el presupuesto ministerial.</t>
        </is>
      </c>
      <c r="S14" s="10" t="inlineStr">
        <is>
          <t>31/08/2026, salvo indicación distinta</t>
        </is>
      </c>
      <c r="T14" s="10" t="inlineStr">
        <is>
          <t>Vigente; estado operativo no exhaustivamente auditado</t>
        </is>
      </c>
      <c r="U14" s="10" t="inlineStr">
        <is>
          <t>No se ha verificado el número actual de puestos ocupados ni la independencia práctica de su dirección.</t>
        </is>
      </c>
      <c r="V14" s="10" t="inlineStr">
        <is>
          <t>Ámbito compartido; funciones distintas; Ámbito temático compartido; jurisdicción y facultades distintas</t>
        </is>
      </c>
      <c r="W14" s="10" t="inlineStr">
        <is>
          <t>14, 123</t>
        </is>
      </c>
      <c r="X14" s="10" t="inlineStr">
        <is>
          <t>Violencia de género: el Observatorio asesora y evalúa; la Delegación formula y coordina políticas y tiene legitimación judicial. | Violencia de género e igualdad: observatorio consultivo cántabro, observatorio estatal y delegación ejecutiva estatal. No se demuestra gasto duplicado.</t>
        </is>
      </c>
      <c r="Y14" s="10" t="inlineStr">
        <is>
          <t>https://www.boe.es/eli/es/lo/2004/12/28/1
https://violenciagenero.igualdad.gob.es/violenciaencifras/observatorio/informesanuales/xviii-informe-anual-del-observatorio-estatal-de-violencia-sobre-la-mujer-2024/
https://boc.cantabria.es/boces/verAnuncioAction.do?idAnuBlob=352798</t>
        </is>
      </c>
      <c r="Z14" s="30" t="inlineStr">
        <is>
          <t>https://www.boe.es/eli/es/lo/2004/12/28/1
https://violenciagenero.igualdad.gob.es/violenciaencifras/observatorio/informesanuales/xviii-informe-anual-del-observatorio-estatal-de-violencia-sobre-la-mujer-2024/
https://www.boe.es/eli/es/rd/2022/09/13/752/con</t>
        </is>
      </c>
      <c r="AA14" s="12" t="n"/>
      <c r="AB14" s="10" t="n"/>
      <c r="AC14" s="10" t="n"/>
      <c r="AD14" s="10" t="n"/>
      <c r="AE14" s="13" t="inlineStr">
        <is>
          <t>https://files.instinct.com/q91pr53q4umo-entidades-publicas-poder-y-presupuesto</t>
        </is>
      </c>
      <c r="AF14" s="10" t="inlineStr">
        <is>
          <t>12/10/2026</t>
        </is>
      </c>
      <c r="AG14" s="10" t="n"/>
      <c r="AH14" s="10" t="n"/>
      <c r="AI14" s="10" t="inlineStr">
        <is>
          <t>Personas realmente ocupadas; no equiparar vocales, puestos RPT o apoyo ministerial con plantilla</t>
        </is>
      </c>
      <c r="AJ14" s="10" t="inlineStr">
        <is>
          <t>Pendiente: sin cifra de personal ocupado verificada en el conjunto actual</t>
        </is>
      </c>
      <c r="AK14" s="10" t="n"/>
      <c r="AL14" s="12" t="n"/>
      <c r="AM14" s="10" t="n"/>
      <c r="AN14" s="10" t="n"/>
      <c r="AO14" s="10" t="inlineStr">
        <is>
          <t>Pendiente: sin coste de personal individual verificado en el conjunto actual</t>
        </is>
      </c>
      <c r="AP14" s="10" t="n"/>
      <c r="AQ14" s="12" t="n"/>
      <c r="AR14" s="10" t="n"/>
      <c r="AS14" s="10" t="n"/>
      <c r="AT14" s="10" t="n"/>
      <c r="AU14" s="10" t="n"/>
      <c r="AV14" s="10" t="inlineStr">
        <is>
          <t>Pendiente: no se ha verificado gasto salarial ejecutado individual en esta versión</t>
        </is>
      </c>
      <c r="AW14" s="10" t="inlineStr">
        <is>
          <t>SIN CIFRA INDIVIDUAL IDENTIFICADA de presupuesto, personal ocupado y salarios ejecutados en fuentes revisadas. No significa cero ni prueba de que nada esté publicado.</t>
        </is>
      </c>
      <c r="AX14" s="14" t="n"/>
      <c r="AY14" s="14" t="n"/>
      <c r="AZ14" s="14" t="n"/>
      <c r="BA14" s="14" t="n"/>
      <c r="BB14" s="14" t="inlineStr">
        <is>
          <t>Apoyo ministerial/departamental indicado en el lote y norma de la ficha; gasto individual no desglosado verificado. No repartir gasto total del ministerio. Financiación con medios del órgano matriz (Delegación del Gobierno contra la Violencia de Género, Ministerio de Igualdad)</t>
        </is>
      </c>
      <c r="BC14" s="10" t="inlineStr">
        <is>
          <t>Informes y propuestas sobre violencia de género; informe anual sobre necesidades de reforma legal</t>
        </is>
      </c>
      <c r="BD14" s="10" t="inlineStr">
        <is>
          <t>No informe preceptivo general sobre aprobación de leyes identificado en las funciones revisadas</t>
        </is>
      </c>
      <c r="BE14" s="10" t="inlineStr">
        <is>
          <t>No consentimiento favorable o vinculación normativa establecido en funciones revisadas</t>
        </is>
      </c>
      <c r="BF14" s="10" t="inlineStr">
        <is>
          <t>No poder de veto legislativo atribuido en funciones revisadas. Proponer cambios, informar a Cortes o participar no equivale a aprobar leyes; no certifica ausencia de reglas sectoriales posteriores.</t>
        </is>
      </c>
      <c r="BG14" s="10" t="inlineStr">
        <is>
          <t>LO1/2004 art 30</t>
        </is>
      </c>
      <c r="BH14" s="10" t="inlineStr">
        <is>
          <t>https://www.boe.es/eli/es/lo/2004/12/28/1</t>
        </is>
      </c>
      <c r="BI14" s="12" t="n"/>
      <c r="BJ14" s="12" t="n"/>
      <c r="BK14" s="12" t="n"/>
      <c r="BL14" s="12" t="n"/>
      <c r="BM14" s="10" t="n"/>
      <c r="BN14" s="10" t="n"/>
      <c r="BO14" s="12" t="n"/>
      <c r="BP14" s="12" t="n"/>
      <c r="BQ14" s="12" t="n"/>
      <c r="BR14" s="12" t="n"/>
      <c r="BS14" s="12" t="n"/>
      <c r="BT14" s="12" t="n"/>
      <c r="BU14" s="12" t="n"/>
      <c r="BV14" s="27" t="inlineStr">
        <is>
          <t>No útil</t>
        </is>
      </c>
      <c r="BW14" s="27" t="inlineStr">
        <is>
          <t>Suprimir</t>
        </is>
      </c>
      <c r="BX14" s="27" t="inlineStr">
        <is>
          <t>Consultivo o participación</t>
        </is>
      </c>
      <c r="BY14" s="27" t="inlineStr">
        <is>
          <t>Organismo estatal de referencia. 10 comunidades tienen el suyo propio; 11 organismos sobre este tema entre el Estado y las CCAA (verificados).</t>
        </is>
      </c>
      <c r="BZ14" s="27" t="inlineStr">
        <is>
          <t>No</t>
        </is>
      </c>
      <c r="CA14" s="27" t="inlineStr">
        <is>
          <t>Acreditada</t>
        </is>
      </c>
      <c r="CB14" s="27" t="inlineStr">
        <is>
          <t>Observatorio, consejo o comisión: el P100 los cierra salvo que su ministerio demuestre que su trabajo cambia decisiones o mejora un servicio; publicar informes no cuenta.</t>
        </is>
      </c>
      <c r="CC14" s="27" t="inlineStr">
        <is>
          <t>Explícito en el P100: Costes del Estado 2</t>
        </is>
      </c>
      <c r="CD14" s="27" t="inlineStr">
        <is>
          <t>Estructura ordinaria del ministerio, si alguna función resultara imprescindible</t>
        </is>
      </c>
      <c r="CE14" s="27" t="inlineStr">
        <is>
          <t>Observatorios de igualdad y violencia de género</t>
        </is>
      </c>
      <c r="CF14" s="28" t="n">
        <v>11</v>
      </c>
      <c r="CG14" s="27" t="inlineStr">
        <is>
          <t>Apoyo: Secretaría: titular de la SG de Sensibilización, Prevención y Estudios de la Violencia contra las Mujeres, en la DGVG (art. 4.4 RD 752/2022); gastos personales y materiales con cargo al ministerio del que depende la DGVG (DA única). Esa SG elabora el informe anual. vocales: 45. gasto con nombre propio: Becas de formación en el Observatorio: 6 becas en 2022-2023, de 1.050 EUR brutos/mes más 600 EUR/año cada una (extracto BOE 22/03/2022) (https://violenciagenero.igualdad.gob.es/wp-content/uploads/DGVGInforma_becas.pdf) | Borrador de bases de 2026: entre 14.400 y 22.200 EUR brutos anuales por beca, sin número fijado (https://www.igualdad.gob.es/wp-content/uploads/2026/06/Orden-de-Bases-becas_BORRADOR.pdf).</t>
        </is>
      </c>
      <c r="CH14" s="29">
        <f>IF(AND(ISNUMBER(BP14),ISNUMBER(AG14),AG14&gt;0),BP14*1000000/AG14,"")</f>
        <v/>
      </c>
      <c r="CI14" s="12" t="n"/>
      <c r="CJ14" s="12" t="n"/>
      <c r="CK14" s="12" t="n"/>
      <c r="CL14" s="12" t="n"/>
      <c r="CM14" s="12" t="n"/>
      <c r="CN14" s="12" t="n"/>
      <c r="CO14" s="12" t="n"/>
      <c r="CP14" s="12" t="n"/>
      <c r="CQ14" s="12" t="n"/>
      <c r="CR14" s="12" t="n"/>
      <c r="CS14" s="12" t="n"/>
    </row>
    <row r="15">
      <c r="A15" s="10" t="n">
        <v>14</v>
      </c>
      <c r="B15" s="10" t="inlineStr">
        <is>
          <t>Estatal</t>
        </is>
      </c>
      <c r="C15" s="10" t="inlineStr">
        <is>
          <t>Estado</t>
        </is>
      </c>
      <c r="D15" s="10" t="inlineStr">
        <is>
          <t>Zapatero</t>
        </is>
      </c>
      <c r="E15" s="10" t="inlineStr">
        <is>
          <t>Delegación Especial del Gobierno contra la Violencia sobre la Mujer, hoy Delegación del Gobierno contra la Violencia de Género</t>
        </is>
      </c>
      <c r="F15" s="10" t="inlineStr">
        <is>
          <t>Órgano administrativo nuevo</t>
        </is>
      </c>
      <c r="G15" s="10" t="inlineStr">
        <is>
          <t>2004-12-28</t>
        </is>
      </c>
      <c r="H15" s="10" t="inlineStr">
        <is>
          <t>LO 1/2004, art.29</t>
        </is>
      </c>
      <c r="I15" s="10" t="inlineStr">
        <is>
          <t>Formular, coordinar e impulsar políticas estatales contra violencia de género y legitimación judicial para defender derechos tutelados.</t>
        </is>
      </c>
      <c r="J15" s="10" t="inlineStr">
        <is>
          <t>Juicio: poder de coordinación administrativa y legitimación judicial real; no es solo un observatorio. No sustituye competencias de jueces, policía ni autonomías.</t>
        </is>
      </c>
      <c r="K15" s="11" t="n"/>
      <c r="L15" s="10" t="n"/>
      <c r="M15" s="10" t="n"/>
      <c r="N15" s="10" t="n"/>
      <c r="O15" s="10" t="inlineStr">
        <is>
          <t>Sin cifra propia actual verificada</t>
        </is>
      </c>
      <c r="P15" s="12" t="n"/>
      <c r="Q15" s="12" t="n"/>
      <c r="R15" s="10" t="inlineStr">
        <is>
          <t xml:space="preserve">No cuantificado en este lote. El programa de políticas contra violencia de género comprende transferencias y actuaciones más amplias: no equivale a coste de la Delegación. </t>
        </is>
      </c>
      <c r="S15" s="10" t="inlineStr">
        <is>
          <t>31/08/2026, salvo indicación distinta</t>
        </is>
      </c>
      <c r="T15" s="10" t="inlineStr">
        <is>
          <t>Continúa bajo denominación posterior.</t>
        </is>
      </c>
      <c r="U15" s="10" t="inlineStr">
        <is>
          <t>Falta extraer la distribución actual del programa y las modificaciones 2026 por aplicación.</t>
        </is>
      </c>
      <c r="V15" s="10" t="inlineStr">
        <is>
          <t>Ámbito compartido; funciones distintas; Ámbito temático compartido; jurisdicción y facultades distintas</t>
        </is>
      </c>
      <c r="W15" s="10" t="inlineStr">
        <is>
          <t>13, 123</t>
        </is>
      </c>
      <c r="X15" s="10" t="inlineStr">
        <is>
          <t>Violencia de género: el Observatorio asesora y evalúa; la Delegación formula y coordina políticas y tiene legitimación judicial. | Violencia de género e igualdad: observatorio consultivo cántabro, observatorio estatal y delegación ejecutiva estatal. No se demuestra gasto duplicado.</t>
        </is>
      </c>
      <c r="Y15" s="10" t="inlineStr">
        <is>
          <t>https://www.boe.es/eli/es/lo/2004/12/28/1
https://violenciagenero.igualdad.gob.es/violenciaencifras/observatorio/informesanuales/xviii-informe-anual-del-observatorio-estatal-de-violencia-sobre-la-mujer-2024/
https://boc.cantabria.es/boces/verAnuncioAction.do?idAnuBlob=352798</t>
        </is>
      </c>
      <c r="Z15" s="10" t="inlineStr">
        <is>
          <t>https://www.boe.es/eli/es/lo/2004/12/28/1</t>
        </is>
      </c>
      <c r="AA15" s="12" t="n"/>
      <c r="AB15" s="10" t="n"/>
      <c r="AC15" s="10" t="n"/>
      <c r="AD15" s="10" t="n"/>
      <c r="AE15" s="13" t="inlineStr">
        <is>
          <t>https://files.instinct.com/q91pr53q4umo-entidades-publicas-poder-y-presupuesto</t>
        </is>
      </c>
      <c r="AF15" s="10" t="inlineStr">
        <is>
          <t>12/10/2026</t>
        </is>
      </c>
      <c r="AG15" s="10" t="n"/>
      <c r="AH15" s="10" t="n"/>
      <c r="AI15" s="10" t="inlineStr">
        <is>
          <t>Personas realmente ocupadas; no equiparar vocales, puestos RPT o apoyo ministerial con plantilla</t>
        </is>
      </c>
      <c r="AJ15" s="10" t="inlineStr">
        <is>
          <t>Pendiente: sin cifra de personal ocupado verificada en el conjunto actual</t>
        </is>
      </c>
      <c r="AK15" s="10" t="n"/>
      <c r="AL15" s="12" t="n"/>
      <c r="AM15" s="10" t="n"/>
      <c r="AN15" s="10" t="n"/>
      <c r="AO15" s="10" t="inlineStr">
        <is>
          <t>Pendiente: sin coste de personal individual verificado en el conjunto actual</t>
        </is>
      </c>
      <c r="AP15" s="10" t="n"/>
      <c r="AQ15" s="12" t="n"/>
      <c r="AR15" s="10" t="n"/>
      <c r="AS15" s="10" t="n"/>
      <c r="AT15" s="10" t="n"/>
      <c r="AU15" s="10" t="n"/>
      <c r="AV15" s="10" t="inlineStr">
        <is>
          <t>Pendiente: no se ha verificado gasto salarial ejecutado individual en esta versión</t>
        </is>
      </c>
      <c r="AW15" s="10" t="inlineStr">
        <is>
          <t>SIN CIFRA INDIVIDUAL IDENTIFICADA de presupuesto, personal ocupado y salarios ejecutados en fuentes revisadas. No significa cero ni prueba de que nada esté publicado.</t>
        </is>
      </c>
      <c r="AX15" s="14" t="n"/>
      <c r="AY15" s="14" t="n"/>
      <c r="AZ15" s="14" t="n"/>
      <c r="BA15" s="14" t="n"/>
      <c r="BB15" s="14" t="inlineStr">
        <is>
          <t>Apoyo ministerial/departamental indicado en el lote y norma de la ficha; gasto individual no desglosado verificado. No repartir gasto total del ministerio. Centro directivo del Ministerio de Igualdad con puestos en la RPT del ministerio - personal MINISTERIAL, no de entidad independiente</t>
        </is>
      </c>
      <c r="BC15" s="10" t="inlineStr">
        <is>
          <t>Revisado: Delegación Violencia Género: impulso y asesoramiento</t>
        </is>
      </c>
      <c r="BD15" s="10" t="inlineStr">
        <is>
          <t>Coordina, asesora y realiza estudios; no informe previo general de leyes en funciones art3.</t>
        </is>
      </c>
      <c r="BE15" s="10" t="inlineStr">
        <is>
          <t>No consentimiento favorable ni veto legislativo establecido en las cláusulas revisadas.</t>
        </is>
      </c>
      <c r="BF15" s="10" t="inlineStr">
        <is>
          <t>Revisión limitada a las atribuciones citadas: no descarta trámites sectoriales en otras normas.</t>
        </is>
      </c>
      <c r="BG15" s="10" t="inlineStr">
        <is>
          <t>RD246/2024 art3</t>
        </is>
      </c>
      <c r="BH15" s="10" t="inlineStr">
        <is>
          <t>https://boe.es/buscar/doc.php?id=BOE-A-2024-4616</t>
        </is>
      </c>
      <c r="BI15" s="12" t="n"/>
      <c r="BJ15" s="12" t="n"/>
      <c r="BK15" s="12" t="n"/>
      <c r="BL15" s="12" t="n"/>
      <c r="BM15" s="10" t="n"/>
      <c r="BN15" s="10" t="n"/>
      <c r="BO15" s="12" t="n"/>
      <c r="BP15" s="12" t="n"/>
      <c r="BQ15" s="12" t="n"/>
      <c r="BR15" s="12" t="n"/>
      <c r="BS15" s="12" t="n"/>
      <c r="BT15" s="12" t="n"/>
      <c r="BU15" s="12" t="n"/>
      <c r="BV15" s="27" t="inlineStr">
        <is>
          <t>Sin decisión en el P100</t>
        </is>
      </c>
      <c r="BW15" s="27" t="inlineStr">
        <is>
          <t>Pendiente de decisión</t>
        </is>
      </c>
      <c r="BX15" s="27" t="inlineStr">
        <is>
          <t>Servicio público directo</t>
        </is>
      </c>
      <c r="BY15" s="12" t="n"/>
      <c r="BZ15" s="27" t="inlineStr">
        <is>
          <t>No</t>
        </is>
      </c>
      <c r="CA15" s="27" t="inlineStr">
        <is>
          <t>Acreditada</t>
        </is>
      </c>
      <c r="CB15" s="27" t="inlineStr">
        <is>
          <t>Dirección general del Ministerio de Igualdad (no es un organismo): coordina la política contra la violencia de género y gestiona 79,5 M.</t>
        </is>
      </c>
      <c r="CC15" s="27" t="inlineStr">
        <is>
          <t>El P100 no trata la violencia de género ni el futuro del Ministerio de Igualdad</t>
        </is>
      </c>
      <c r="CD15" s="12" t="n"/>
      <c r="CE15" s="27" t="inlineStr">
        <is>
          <t>Violencia de género (política estatal)</t>
        </is>
      </c>
      <c r="CF15" s="12" t="n"/>
      <c r="CG15" s="12" t="n"/>
      <c r="CH15" s="29">
        <f>IF(AND(ISNUMBER(BP15),ISNUMBER(AG15),AG15&gt;0),BP15*1000000/AG15,"")</f>
        <v/>
      </c>
      <c r="CI15" s="12" t="n"/>
      <c r="CJ15" s="12" t="n"/>
      <c r="CK15" s="12" t="n"/>
      <c r="CL15" s="12" t="n"/>
      <c r="CM15" s="12" t="n"/>
      <c r="CN15" s="12" t="n"/>
      <c r="CO15" s="12" t="n"/>
      <c r="CP15" s="12" t="n"/>
      <c r="CQ15" s="12" t="n"/>
      <c r="CR15" s="12" t="n"/>
      <c r="CS15" s="12" t="n"/>
    </row>
    <row r="16">
      <c r="A16" s="10" t="n">
        <v>15</v>
      </c>
      <c r="B16" s="10" t="inlineStr">
        <is>
          <t>Estatal</t>
        </is>
      </c>
      <c r="C16" s="10" t="inlineStr">
        <is>
          <t>Estado</t>
        </is>
      </c>
      <c r="D16" s="10" t="inlineStr">
        <is>
          <t>Zapatero</t>
        </is>
      </c>
      <c r="E16" s="10" t="inlineStr">
        <is>
          <t>Consejo Estatal de Familias y Observatorio Estatal de Familias</t>
        </is>
      </c>
      <c r="F16" s="10" t="inlineStr">
        <is>
          <t>Consejo nuevo; observatorio como órgano/comisión permanente del Consejo, con previsión legal anterior</t>
        </is>
      </c>
      <c r="G16" s="10" t="inlineStr">
        <is>
          <t>2007-05-11</t>
        </is>
      </c>
      <c r="H16" s="10" t="inlineStr">
        <is>
          <t>RD 613/2007; antecedente de previsión del observatorio en Ley 40/2003</t>
        </is>
      </c>
      <c r="I16" s="10" t="inlineStr">
        <is>
          <t>Representar movimiento asociativo familiar, estudiar situación y políticas de familias y recomendar actuaciones.</t>
        </is>
      </c>
      <c r="J16" s="10" t="inlineStr">
        <is>
          <t>Juicio: consultivo, no decide prestaciones ni subvenciones. Consejo y observatorio no deben contarse como dos agencias presupuestarias autónomas.</t>
        </is>
      </c>
      <c r="K16" s="11" t="n"/>
      <c r="L16" s="10" t="n"/>
      <c r="M16" s="10" t="n"/>
      <c r="N16" s="10" t="n"/>
      <c r="O16" s="10" t="inlineStr">
        <is>
          <t>Sin cifra propia actual verificada</t>
        </is>
      </c>
      <c r="P16" s="12" t="n"/>
      <c r="Q16" s="12" t="n"/>
      <c r="R16" s="10" t="inlineStr">
        <is>
          <t>No se ha identificado dotación individual en las fuentes consultadas. Se financia con medios del órgano matriz; no equivale a cero EUR y no se le atribuye todo el presupuesto ministerial.</t>
        </is>
      </c>
      <c r="S16" s="10" t="inlineStr">
        <is>
          <t>31/08/2026, salvo indicación distinta</t>
        </is>
      </c>
      <c r="T16" s="10" t="inlineStr">
        <is>
          <t>Creación acreditada; actividad actual no verificada.</t>
        </is>
      </c>
      <c r="U16" s="10" t="inlineStr">
        <is>
          <t>No se ha verificado composición vigente ni cumplimiento de la reunión anual; sin base para llamarlo vacío.</t>
        </is>
      </c>
      <c r="V16" s="10" t="inlineStr">
        <is>
          <t>No se ha identificado relación en esta revisión (no certifica ausencia)</t>
        </is>
      </c>
      <c r="W16" s="10" t="n"/>
      <c r="X16" s="10" t="inlineStr">
        <is>
          <t>Revisión cualitativa del mandato y estado de las 95 fichas; no auditoría exhaustiva de funciones ni proyectos.</t>
        </is>
      </c>
      <c r="Y16" s="10" t="n"/>
      <c r="Z16" s="30" t="inlineStr">
        <is>
          <t>https://www.boe.es/boe/dias/2007/05/12/pdfs/A20598-20600.pdf
https://www.boe.es/eli/es/rd/2007/05/11/613</t>
        </is>
      </c>
      <c r="AA16" s="12" t="n"/>
      <c r="AB16" s="10" t="n"/>
      <c r="AC16" s="10" t="n"/>
      <c r="AD16" s="10" t="n"/>
      <c r="AE16" s="13" t="inlineStr">
        <is>
          <t>https://files.instinct.com/q91pr53q4umo-entidades-publicas-poder-y-presupuesto</t>
        </is>
      </c>
      <c r="AF16" s="10" t="inlineStr">
        <is>
          <t>12/10/2026</t>
        </is>
      </c>
      <c r="AG16" s="10" t="n"/>
      <c r="AH16" s="10" t="n"/>
      <c r="AI16" s="10" t="inlineStr">
        <is>
          <t>Personas realmente ocupadas; no equiparar vocales, puestos RPT o apoyo ministerial con plantilla</t>
        </is>
      </c>
      <c r="AJ16" s="10" t="inlineStr">
        <is>
          <t>Pendiente: sin cifra de personal ocupado verificada en el conjunto actual</t>
        </is>
      </c>
      <c r="AK16" s="10" t="n"/>
      <c r="AL16" s="12" t="n"/>
      <c r="AM16" s="10" t="n"/>
      <c r="AN16" s="10" t="n"/>
      <c r="AO16" s="10" t="inlineStr">
        <is>
          <t>Pendiente: sin coste de personal individual verificado en el conjunto actual</t>
        </is>
      </c>
      <c r="AP16" s="10" t="n"/>
      <c r="AQ16" s="12" t="n"/>
      <c r="AR16" s="10" t="n"/>
      <c r="AS16" s="10" t="n"/>
      <c r="AT16" s="10" t="n"/>
      <c r="AU16" s="10" t="n"/>
      <c r="AV16" s="10" t="inlineStr">
        <is>
          <t>Pendiente: no se ha verificado gasto salarial ejecutado individual en esta versión</t>
        </is>
      </c>
      <c r="AW16" s="10" t="inlineStr">
        <is>
          <t>SIN CIFRA INDIVIDUAL IDENTIFICADA de presupuesto, personal ocupado y salarios ejecutados en fuentes revisadas. No significa cero ni prueba de que nada esté publicado.</t>
        </is>
      </c>
      <c r="AX16" s="14" t="n"/>
      <c r="AY16" s="14" t="n"/>
      <c r="AZ16" s="14" t="n"/>
      <c r="BA16" s="14" t="n"/>
      <c r="BB16" s="14" t="inlineStr">
        <is>
          <t>Apoyo ministerial/departamental indicado en el lote y norma de la ficha; gasto individual no desglosado verificado. No repartir gasto total del ministerio. Medios del órgano matriz (M. Derechos Sociales)</t>
        </is>
      </c>
      <c r="BC16" s="10" t="inlineStr">
        <is>
          <t>Consejo informa proyectos sometidos a su consideración; Observatorio es órgano del Consejo</t>
        </is>
      </c>
      <c r="BD16" s="10" t="inlineStr">
        <is>
          <t>Art 2.1(d),(e): proyectos y consultas sometidos a consideración; no obligación general de informe favorable</t>
        </is>
      </c>
      <c r="BE16" s="10" t="inlineStr">
        <is>
          <t>No vinculación o consentimiento favorable establecido en la función revisada</t>
        </is>
      </c>
      <c r="BF16" s="10" t="inlineStr">
        <is>
          <t>Sin veto normativo atribuido por los artículos revisados. Consejo y Observatorio no equivalen a dos autorizaciones independientes.</t>
        </is>
      </c>
      <c r="BG16" s="10" t="inlineStr">
        <is>
          <t>RD 613/2007 arts 1.2,2.1(d),(e)</t>
        </is>
      </c>
      <c r="BH16" s="10" t="inlineStr">
        <is>
          <t>https://www.boe.es/boe/dias/2007/05/12/pdfs/A20598-20600.pdf</t>
        </is>
      </c>
      <c r="BI16" s="12" t="n"/>
      <c r="BJ16" s="12" t="n"/>
      <c r="BK16" s="12" t="n"/>
      <c r="BL16" s="12" t="n"/>
      <c r="BM16" s="10" t="n"/>
      <c r="BN16" s="10" t="n"/>
      <c r="BO16" s="12" t="n"/>
      <c r="BP16" s="12" t="n"/>
      <c r="BQ16" s="12" t="n"/>
      <c r="BR16" s="12" t="n"/>
      <c r="BS16" s="12" t="n"/>
      <c r="BT16" s="12" t="n"/>
      <c r="BU16" s="12" t="n"/>
      <c r="BV16" s="27" t="inlineStr">
        <is>
          <t>No útil</t>
        </is>
      </c>
      <c r="BW16" s="27" t="inlineStr">
        <is>
          <t>Suprimir</t>
        </is>
      </c>
      <c r="BX16" s="27" t="inlineStr">
        <is>
          <t>Consultivo o participación</t>
        </is>
      </c>
      <c r="BY16" s="12" t="n"/>
      <c r="BZ16" s="27" t="inlineStr">
        <is>
          <t>No</t>
        </is>
      </c>
      <c r="CA16" s="27" t="inlineStr">
        <is>
          <t>No acreditada</t>
        </is>
      </c>
      <c r="CB16" s="27" t="inlineStr">
        <is>
          <t>Observatorio, consejo o comisión: el P100 los cierra salvo que su ministerio demuestre que su trabajo cambia decisiones o mejora un servicio; publicar informes no cuenta.</t>
        </is>
      </c>
      <c r="CC16" s="27" t="inlineStr">
        <is>
          <t>Explícito en el P100: Costes del Estado 2</t>
        </is>
      </c>
      <c r="CD16" s="27" t="inlineStr">
        <is>
          <t>Estructura ordinaria del ministerio, si alguna función resultara imprescindible</t>
        </is>
      </c>
      <c r="CE16" s="27" t="inlineStr">
        <is>
          <t>Familias</t>
        </is>
      </c>
      <c r="CF16" s="12" t="n"/>
      <c r="CG16" s="27" t="inlineStr">
        <is>
          <t>Apoyo: Secretario del Consejo y del Observatorio: un funcionario del ministerio designado por la SE competente en familias (arts. 7.1 y 11); medios personales y materiales del ministerio (DA única RD 613/2007). vocales: 36.</t>
        </is>
      </c>
      <c r="CH16" s="29">
        <f>IF(AND(ISNUMBER(BP16),ISNUMBER(AG16),AG16&gt;0),BP16*1000000/AG16,"")</f>
        <v/>
      </c>
      <c r="CI16" s="12" t="n"/>
      <c r="CJ16" s="12" t="n"/>
      <c r="CK16" s="12" t="n"/>
      <c r="CL16" s="12" t="n"/>
      <c r="CM16" s="12" t="n"/>
      <c r="CN16" s="12" t="n"/>
      <c r="CO16" s="12" t="n"/>
      <c r="CP16" s="12" t="n"/>
      <c r="CQ16" s="12" t="n"/>
      <c r="CR16" s="12" t="n"/>
      <c r="CS16" s="12" t="n"/>
    </row>
    <row r="17">
      <c r="A17" s="10" t="n">
        <v>16</v>
      </c>
      <c r="B17" s="10" t="inlineStr">
        <is>
          <t>Estatal</t>
        </is>
      </c>
      <c r="C17" s="10" t="inlineStr">
        <is>
          <t>Estado</t>
        </is>
      </c>
      <c r="D17" s="10" t="inlineStr">
        <is>
          <t>Zapatero</t>
        </is>
      </c>
      <c r="E17" s="10" t="inlineStr">
        <is>
          <t>Observatorio Estatal de la Discapacidad</t>
        </is>
      </c>
      <c r="F17" s="10" t="inlineStr">
        <is>
          <t>Instrumento técnico por convenio, sin personalidad jurídica</t>
        </is>
      </c>
      <c r="G17" s="10" t="inlineStr">
        <is>
          <t>2006-12-04</t>
        </is>
      </c>
      <c r="H17" s="10" t="inlineStr">
        <is>
          <t>Convenio marco publicado por Resolución 14/12/2006</t>
        </is>
      </c>
      <c r="I17" s="10" t="inlineStr">
        <is>
          <t>Recopilar, sistematizar, generar y difundir información sobre discapacidad; dirección del Real Patronato y gestión técnica encargada a entidad colaboradora.</t>
        </is>
      </c>
      <c r="J17" s="10" t="inlineStr">
        <is>
          <t>Juicio: función de conocimiento real, no autoridad sancionadora. Informe Olivenza 2025 acredita resultados recientes.</t>
        </is>
      </c>
      <c r="K17" s="11" t="n"/>
      <c r="L17" s="10" t="n"/>
      <c r="M17" s="10" t="n"/>
      <c r="N17" s="10" t="n"/>
      <c r="O17" s="10" t="inlineStr">
        <is>
          <t>Sin cifra propia actual verificada</t>
        </is>
      </c>
      <c r="P17" s="12" t="n"/>
      <c r="Q17" s="12" t="n"/>
      <c r="R17" s="10" t="inlineStr">
        <is>
          <t>No extraída financiación individual vigente. Convenios/subvenciones para su actividad deben separarse del presupuesto íntegro del Real Patronato.</t>
        </is>
      </c>
      <c r="S17" s="10" t="inlineStr">
        <is>
          <t>31/08/2026, salvo indicación distinta</t>
        </is>
      </c>
      <c r="T17" s="10" t="inlineStr">
        <is>
          <t>Actividad recente verificada.</t>
        </is>
      </c>
      <c r="U17" s="10" t="inlineStr">
        <is>
          <t>La financiación del convenio de 2006 no debe repetirse como presupuesto actual; convenio firmado el 4/12/2006.</t>
        </is>
      </c>
      <c r="V17" s="10" t="inlineStr">
        <is>
          <t>No se ha identificado relación en esta revisión (no certifica ausencia)</t>
        </is>
      </c>
      <c r="W17" s="10" t="n"/>
      <c r="X17" s="10" t="inlineStr">
        <is>
          <t>Revisión cualitativa del mandato y estado de las 95 fichas; no auditoría exhaustiva de funciones ni proyectos.</t>
        </is>
      </c>
      <c r="Y17" s="10" t="n"/>
      <c r="Z17" s="30" t="inlineStr">
        <is>
          <t>https://www.boe.es/diario_boe/txt.php?id=BOE-A-2006-22673
https://observatoriodeladiscapacidad.info/olivenza/2025/informe
https://www.boe.es/diario_boe/txt.php?id=BOE-A-2025-20078</t>
        </is>
      </c>
      <c r="AA17" s="12" t="n"/>
      <c r="AB17" s="10" t="n"/>
      <c r="AC17" s="10" t="n"/>
      <c r="AD17" s="10" t="n"/>
      <c r="AE17" s="13" t="inlineStr">
        <is>
          <t>https://files.instinct.com/q91pr53q4umo-entidades-publicas-poder-y-presupuesto</t>
        </is>
      </c>
      <c r="AF17" s="10" t="inlineStr">
        <is>
          <t>12/10/2026</t>
        </is>
      </c>
      <c r="AG17" s="10" t="n"/>
      <c r="AH17" s="10" t="n"/>
      <c r="AI17" s="10" t="inlineStr">
        <is>
          <t>Personas realmente ocupadas; no equiparar vocales, puestos RPT o apoyo ministerial con plantilla</t>
        </is>
      </c>
      <c r="AJ17" s="10" t="inlineStr">
        <is>
          <t>Pendiente: sin cifra de personal ocupado verificada en el conjunto actual</t>
        </is>
      </c>
      <c r="AK17" s="10" t="n"/>
      <c r="AL17" s="12" t="n"/>
      <c r="AM17" s="10" t="n"/>
      <c r="AN17" s="10" t="n"/>
      <c r="AO17" s="10" t="inlineStr">
        <is>
          <t>Pendiente: sin coste de personal individual verificado en el conjunto actual</t>
        </is>
      </c>
      <c r="AP17" s="10" t="n"/>
      <c r="AQ17" s="12" t="n"/>
      <c r="AR17" s="10" t="n"/>
      <c r="AS17" s="10" t="n"/>
      <c r="AT17" s="10" t="n"/>
      <c r="AU17" s="10" t="n"/>
      <c r="AV17" s="10" t="inlineStr">
        <is>
          <t>Pendiente: no se ha verificado gasto salarial ejecutado individual en esta versión</t>
        </is>
      </c>
      <c r="AW17" s="10" t="inlineStr">
        <is>
          <t>SIN CIFRA INDIVIDUAL IDENTIFICADA de presupuesto, personal ocupado y salarios ejecutados en fuentes revisadas. No significa cero ni prueba de que nada esté publicado.</t>
        </is>
      </c>
      <c r="AX17" s="14" t="n"/>
      <c r="AY17" s="14" t="n"/>
      <c r="AZ17" s="14" t="n"/>
      <c r="BA17" s="14" t="n"/>
      <c r="BB17" s="14" t="inlineStr">
        <is>
          <t>Apoyo ministerial/departamental indicado en el lote y norma de la ficha; gasto individual no desglosado verificado. No repartir gasto total del ministerio. Gestión canalizada por subvención nominativa al CERMI vía Real Patronato sobre Discapacidad (BOE-A-2023-11877): el personal lo emplea el CERMI con la subvención, NO es plantilla pública de la entidad</t>
        </is>
      </c>
      <c r="BC17" s="10" t="inlineStr">
        <is>
          <t>Instrumento técnico de información sobre discapacidad, no órgano de autorización normativa</t>
        </is>
      </c>
      <c r="BD17" s="10" t="inlineStr">
        <is>
          <t>No informe preceptivo general sobre aprobación de leyes identificado en las funciones revisadas</t>
        </is>
      </c>
      <c r="BE17" s="10" t="inlineStr">
        <is>
          <t>No consentimiento favorable o vinculación normativa establecido en funciones revisadas</t>
        </is>
      </c>
      <c r="BF17" s="10" t="inlineStr">
        <is>
          <t>No poder de veto legislativo atribuido en funciones revisadas. Proponer cambios, informar a Cortes o participar no equivale a aprobar leyes; no certifica ausencia de reglas sectoriales posteriores.</t>
        </is>
      </c>
      <c r="BG17" s="10" t="inlineStr">
        <is>
          <t>Convenio 2006 cláusulas Segunda, Tercera, Cuarta</t>
        </is>
      </c>
      <c r="BH17" s="10" t="inlineStr">
        <is>
          <t>https://www.boe.es/diario_boe/txt.php?id=BOE-A-2006-22673</t>
        </is>
      </c>
      <c r="BI17" s="12" t="n"/>
      <c r="BJ17" s="12" t="n"/>
      <c r="BK17" s="12" t="n"/>
      <c r="BL17" s="12" t="n"/>
      <c r="BM17" s="10" t="n"/>
      <c r="BN17" s="10" t="n"/>
      <c r="BO17" s="12" t="n"/>
      <c r="BP17" s="12" t="n"/>
      <c r="BQ17" s="12" t="n"/>
      <c r="BR17" s="12" t="n"/>
      <c r="BS17" s="12" t="n"/>
      <c r="BT17" s="12" t="n"/>
      <c r="BU17" s="12" t="n"/>
      <c r="BV17" s="27" t="inlineStr">
        <is>
          <t>No útil</t>
        </is>
      </c>
      <c r="BW17" s="27" t="inlineStr">
        <is>
          <t>Suprimir</t>
        </is>
      </c>
      <c r="BX17" s="27" t="inlineStr">
        <is>
          <t>Consultivo o participación</t>
        </is>
      </c>
      <c r="BY17" s="12" t="n"/>
      <c r="BZ17" s="27" t="inlineStr">
        <is>
          <t>No</t>
        </is>
      </c>
      <c r="CA17" s="27" t="inlineStr">
        <is>
          <t>Acreditada</t>
        </is>
      </c>
      <c r="CB17" s="27" t="inlineStr">
        <is>
          <t>Observatorio, consejo o comisión: el P100 los cierra salvo que su ministerio demuestre que su trabajo cambia decisiones o mejora un servicio; publicar informes no cuenta.</t>
        </is>
      </c>
      <c r="CC17" s="27" t="inlineStr">
        <is>
          <t>Explícito en el P100: Costes del Estado 2</t>
        </is>
      </c>
      <c r="CD17" s="27" t="inlineStr">
        <is>
          <t>Estructura ordinaria del ministerio, si alguna función resultara imprescindible</t>
        </is>
      </c>
      <c r="CE17" s="27" t="inlineStr">
        <is>
          <t>Discapacidad</t>
        </is>
      </c>
      <c r="CF17" s="12" t="n"/>
      <c r="CG17" s="27" t="inlineStr">
        <is>
          <t>Apoyo: Dirección pública: DG competente en discapacidad (art. 73.1 RDLeg 1/2013). La gestión técnica la presta el CERMI con la subvención, con personal propio que no es empleo público. gasto con nombre propio: 100.000 EUR: subvención directa al CERMI «para el Observatorio Estatal de la Discapacidad» (RD 904/2025, art. 3.3.e), ejecutable en 2025-2026 (https://www.boe.es/diario_boe/txt.php?id=BOE-A-2025-20078) | 2023: 80.000 EUR de subvención nominativa (aplicación 29.102.231F.485), de los que 15.000 EUR eran para «Secretaría técnica» según el anexo 2 del convenio RPD-CERMI (https://www.boe.es/diario_boe/txt.php?id=BOE-A-2023-11877).</t>
        </is>
      </c>
      <c r="CH17" s="29">
        <f>IF(AND(ISNUMBER(BP17),ISNUMBER(AG17),AG17&gt;0),BP17*1000000/AG17,"")</f>
        <v/>
      </c>
      <c r="CI17" s="12" t="n"/>
      <c r="CJ17" s="12" t="n"/>
      <c r="CK17" s="12" t="n"/>
      <c r="CL17" s="12" t="n"/>
      <c r="CM17" s="12" t="n"/>
      <c r="CN17" s="12" t="n"/>
      <c r="CO17" s="12" t="n"/>
      <c r="CP17" s="12" t="n"/>
      <c r="CQ17" s="12" t="n"/>
      <c r="CR17" s="12" t="n"/>
      <c r="CS17" s="12" t="n"/>
    </row>
    <row r="18">
      <c r="A18" s="10" t="n">
        <v>17</v>
      </c>
      <c r="B18" s="10" t="inlineStr">
        <is>
          <t>Estatal</t>
        </is>
      </c>
      <c r="C18" s="10" t="inlineStr">
        <is>
          <t>Estado</t>
        </is>
      </c>
      <c r="D18" s="10" t="inlineStr">
        <is>
          <t>Zapatero</t>
        </is>
      </c>
      <c r="E18" s="10" t="inlineStr">
        <is>
          <t>Observatorio de la Lectura y el Libro</t>
        </is>
      </c>
      <c r="F18" s="10" t="inlineStr">
        <is>
          <t>Órgano colegiado nuevo</t>
        </is>
      </c>
      <c r="G18" s="10" t="inlineStr">
        <is>
          <t>2007-06-22</t>
        </is>
      </c>
      <c r="H18" s="10" t="inlineStr">
        <is>
          <t>Ley 10/2007, DA 2; RD 1574/2007, 30 de noviembre</t>
        </is>
      </c>
      <c r="I18" s="10" t="inlineStr">
        <is>
          <t>Analizar situación del libro, lectura y bibliotecas; asesorar y elaborar informe anual.</t>
        </is>
      </c>
      <c r="J18" s="10" t="inlineStr">
        <is>
          <t>Juicio: técnico/consultivo, sin poder vinculante sobre editoriales, bibliotecas ni políticas públicas.</t>
        </is>
      </c>
      <c r="K18" s="11" t="n"/>
      <c r="L18" s="10" t="n"/>
      <c r="M18" s="10" t="n"/>
      <c r="N18" s="10" t="n"/>
      <c r="O18" s="10" t="inlineStr">
        <is>
          <t>Sin cifra propia actual verificada</t>
        </is>
      </c>
      <c r="P18" s="12" t="n"/>
      <c r="Q18" s="12" t="n"/>
      <c r="R18" s="10" t="inlineStr">
        <is>
          <t>No identificada línea individual. El RD dispone personal mediante modificación RPT de Cultura sin incremento del gasto público.</t>
        </is>
      </c>
      <c r="S18" s="10" t="inlineStr">
        <is>
          <t>31/08/2026, salvo indicación distinta</t>
        </is>
      </c>
      <c r="T18" s="10" t="inlineStr">
        <is>
          <t>Creación acreditada; producción reciente no auditada.</t>
        </is>
      </c>
      <c r="U18" s="10" t="inlineStr">
        <is>
          <t>No confundir creación legal con cumplimiento anual del informe; falta revisión de productos 2026.</t>
        </is>
      </c>
      <c r="V18" s="10" t="inlineStr">
        <is>
          <t>No se ha identificado relación en esta revisión (no certifica ausencia)</t>
        </is>
      </c>
      <c r="W18" s="10" t="n"/>
      <c r="X18" s="10" t="inlineStr">
        <is>
          <t>Revisión cualitativa del mandato y estado de las 95 fichas; no auditoría exhaustiva de funciones ni proyectos.</t>
        </is>
      </c>
      <c r="Y18" s="10" t="n"/>
      <c r="Z18" s="10" t="inlineStr">
        <is>
          <t>https://www.boe.es/eli/es/rd/2007/11/30/1574/con</t>
        </is>
      </c>
      <c r="AA18" s="12" t="n"/>
      <c r="AB18" s="10" t="n"/>
      <c r="AC18" s="10" t="n"/>
      <c r="AD18" s="10" t="n"/>
      <c r="AE18" s="13" t="inlineStr">
        <is>
          <t>https://files.instinct.com/q91pr53q4umo-entidades-publicas-poder-y-presupuesto</t>
        </is>
      </c>
      <c r="AF18" s="10" t="inlineStr">
        <is>
          <t>12/10/2026</t>
        </is>
      </c>
      <c r="AG18" s="10" t="n"/>
      <c r="AH18" s="10" t="n"/>
      <c r="AI18" s="10" t="inlineStr">
        <is>
          <t>Personas realmente ocupadas; no equiparar vocales, puestos RPT o apoyo ministerial con plantilla</t>
        </is>
      </c>
      <c r="AJ18" s="10" t="inlineStr">
        <is>
          <t>Pendiente: sin cifra de personal ocupado verificada en el conjunto actual</t>
        </is>
      </c>
      <c r="AK18" s="10" t="n"/>
      <c r="AL18" s="12" t="n"/>
      <c r="AM18" s="10" t="n"/>
      <c r="AN18" s="10" t="n"/>
      <c r="AO18" s="10" t="inlineStr">
        <is>
          <t>Pendiente: sin coste de personal individual verificado en el conjunto actual</t>
        </is>
      </c>
      <c r="AP18" s="10" t="n"/>
      <c r="AQ18" s="12" t="n"/>
      <c r="AR18" s="10" t="n"/>
      <c r="AS18" s="10" t="n"/>
      <c r="AT18" s="10" t="n"/>
      <c r="AU18" s="10" t="n"/>
      <c r="AV18" s="10" t="inlineStr">
        <is>
          <t>Pendiente: no se ha verificado gasto salarial ejecutado individual en esta versión</t>
        </is>
      </c>
      <c r="AW18" s="10" t="inlineStr">
        <is>
          <t>SIN CIFRA INDIVIDUAL IDENTIFICADA de presupuesto, personal ocupado y salarios ejecutados en fuentes revisadas. No significa cero ni prueba de que nada esté publicado.</t>
        </is>
      </c>
      <c r="AX18" s="14" t="n"/>
      <c r="AY18" s="14" t="n"/>
      <c r="AZ18" s="14" t="n"/>
      <c r="BA18" s="14" t="n"/>
      <c r="BB18" s="14" t="inlineStr">
        <is>
          <t>Apoyo ministerial/departamental indicado en el lote y norma de la ficha; gasto individual no desglosado verificado. No repartir gasto total del ministerio. RD 1574/2007: personal mediante modificación de la RPT de Cultura sin incremento del gasto público - personal ministerial</t>
        </is>
      </c>
      <c r="BC18" s="10" t="inlineStr">
        <is>
          <t>Funciones consultivas revisadas: Asesoramiento, estudios e informe anual sobre lectura y libro</t>
        </is>
      </c>
      <c r="BD18" s="10" t="inlineStr">
        <is>
          <t>No trámite obligatorio general de aprobación de leyes identificado en las funciones revisadas</t>
        </is>
      </c>
      <c r="BE18" s="10" t="inlineStr">
        <is>
          <t>No consentimiento favorable obligatorio o vinculación identificado en dichas funciones</t>
        </is>
      </c>
      <c r="BF18" s="10" t="inlineStr">
        <is>
          <t>No veto legal a aprobación de leyes atribuido por las funciones revisadas. Alcance limitado a norma revisada, no certificación de ausencia de cualquier norma sectorial posterior.</t>
        </is>
      </c>
      <c r="BG18" s="10" t="inlineStr">
        <is>
          <t>RD 1574/2007 arts 1.2,2</t>
        </is>
      </c>
      <c r="BH18" s="10" t="inlineStr">
        <is>
          <t>https://www.boe.es/eli/es/rd/2007/11/30/1574/con</t>
        </is>
      </c>
      <c r="BI18" s="12" t="n"/>
      <c r="BJ18" s="12" t="n"/>
      <c r="BK18" s="12" t="n"/>
      <c r="BL18" s="12" t="n"/>
      <c r="BM18" s="10" t="n"/>
      <c r="BN18" s="10" t="n"/>
      <c r="BO18" s="12" t="n"/>
      <c r="BP18" s="12" t="n"/>
      <c r="BQ18" s="12" t="n"/>
      <c r="BR18" s="12" t="n"/>
      <c r="BS18" s="12" t="n"/>
      <c r="BT18" s="12" t="n"/>
      <c r="BU18" s="12" t="n"/>
      <c r="BV18" s="27" t="inlineStr">
        <is>
          <t>No útil</t>
        </is>
      </c>
      <c r="BW18" s="27" t="inlineStr">
        <is>
          <t>Suprimir</t>
        </is>
      </c>
      <c r="BX18" s="27" t="inlineStr">
        <is>
          <t>Consultivo o participación</t>
        </is>
      </c>
      <c r="BY18" s="12" t="n"/>
      <c r="BZ18" s="27" t="inlineStr">
        <is>
          <t>No</t>
        </is>
      </c>
      <c r="CA18" s="27" t="inlineStr">
        <is>
          <t>No acreditada</t>
        </is>
      </c>
      <c r="CB18" s="27" t="inlineStr">
        <is>
          <t>Observatorio, consejo o comisión: el P100 los cierra salvo que su ministerio demuestre que su trabajo cambia decisiones o mejora un servicio; publicar informes no cuenta.</t>
        </is>
      </c>
      <c r="CC18" s="27" t="inlineStr">
        <is>
          <t>Explícito en el P100: Costes del Estado 2</t>
        </is>
      </c>
      <c r="CD18" s="27" t="inlineStr">
        <is>
          <t>Estructura ordinaria del ministerio, si alguna función resultara imprescindible</t>
        </is>
      </c>
      <c r="CE18" s="27" t="inlineStr">
        <is>
          <t>Libro y lectura</t>
        </is>
      </c>
      <c r="CF18" s="12" t="n"/>
      <c r="CG18" s="27" t="inlineStr">
        <is>
          <t>Apoyo: Secretaría del Pleno y del Comité Técnico: un funcionario de la DG competente en libro (art. 5.2 y art. 6.f RD 1574/2007); dotación de personal mediante modificación de la RPT del Ministerio de Cultura (DA 2.ª). vocales: 32.</t>
        </is>
      </c>
      <c r="CH18" s="29">
        <f>IF(AND(ISNUMBER(BP18),ISNUMBER(AG18),AG18&gt;0),BP18*1000000/AG18,"")</f>
        <v/>
      </c>
      <c r="CI18" s="12" t="n"/>
      <c r="CJ18" s="12" t="n"/>
      <c r="CK18" s="12" t="n"/>
      <c r="CL18" s="12" t="n"/>
      <c r="CM18" s="12" t="n"/>
      <c r="CN18" s="12" t="n"/>
      <c r="CO18" s="12" t="n"/>
      <c r="CP18" s="12" t="n"/>
      <c r="CQ18" s="12" t="n"/>
      <c r="CR18" s="12" t="n"/>
      <c r="CS18" s="12" t="n"/>
    </row>
    <row r="19">
      <c r="A19" s="10" t="n">
        <v>18</v>
      </c>
      <c r="B19" s="10" t="inlineStr">
        <is>
          <t>Estatal</t>
        </is>
      </c>
      <c r="C19" s="10" t="inlineStr">
        <is>
          <t>Estado</t>
        </is>
      </c>
      <c r="D19" s="10" t="inlineStr">
        <is>
          <t>Rajoy</t>
        </is>
      </c>
      <c r="E19" s="10" t="inlineStr">
        <is>
          <t>Observatorio de la Nutrición y de Estudio de la Obesidad</t>
        </is>
      </c>
      <c r="F19" s="10" t="inlineStr">
        <is>
          <t>Órgano colegiado nuevo</t>
        </is>
      </c>
      <c r="G19" s="10" t="inlineStr">
        <is>
          <t>2013-01-18</t>
        </is>
      </c>
      <c r="H19" s="10" t="inlineStr">
        <is>
          <t>Acuerdo Consejo de Ministros 18/01/2013, publicado Resolución AESAN 28/01/2013</t>
        </is>
      </c>
      <c r="I19" s="10" t="inlineStr">
        <is>
          <t>Vigilar nutrición, actividad física y obesidad, analizar datos y apoyar evaluación de estrategia NAOS.</t>
        </is>
      </c>
      <c r="J19" s="10" t="inlineStr">
        <is>
          <t>Juicio: función técnica real, no regulador ni organismo que multa. AESAN vincula al observatorio estudios epidemiológicos como ALADINO.</t>
        </is>
      </c>
      <c r="K19" s="11" t="n"/>
      <c r="L19" s="10" t="n"/>
      <c r="M19" s="10" t="n"/>
      <c r="N19" s="10" t="n"/>
      <c r="O19" s="10" t="inlineStr">
        <is>
          <t>Sin cifra propia actual verificada</t>
        </is>
      </c>
      <c r="P19" s="12" t="n"/>
      <c r="Q19" s="12" t="n"/>
      <c r="R19" s="10" t="inlineStr">
        <is>
          <t>No se ha identificado dotación individual en las fuentes consultadas. Se financia con medios del órgano matriz; no equivale a cero EUR y no se le atribuye todo el presupuesto ministerial.</t>
        </is>
      </c>
      <c r="S19" s="10" t="inlineStr">
        <is>
          <t>31/08/2026, salvo indicación distinta</t>
        </is>
      </c>
      <c r="T19" s="10" t="inlineStr">
        <is>
          <t>Vigente; estado operativo no exhaustivamente auditado</t>
        </is>
      </c>
      <c r="U19" s="10" t="inlineStr">
        <is>
          <t>No se ha verificado el número actual de puestos ocupados ni la independencia práctica de su dirección.</t>
        </is>
      </c>
      <c r="V19" s="10" t="inlineStr">
        <is>
          <t>No se ha identificado relación en esta revisión (no certifica ausencia)</t>
        </is>
      </c>
      <c r="W19" s="10" t="n"/>
      <c r="X19" s="10" t="inlineStr">
        <is>
          <t>Revisión cualitativa del mandato y estado de las 95 fichas; no auditoría exhaustiva de funciones ni proyectos.</t>
        </is>
      </c>
      <c r="Y19" s="10" t="n"/>
      <c r="Z19" s="30" t="inlineStr">
        <is>
          <t>https://www.boe.es/diario_boe/txt.php?id=BOE-A-2013-2074
https://www.aesan.gob.es/nutricion/datos-sobrepeso-obesidad
https://boe.es/boe/dias/2013/02/23/pdfs/BOE-A-2013-2074.pdf</t>
        </is>
      </c>
      <c r="AA19" s="12" t="n"/>
      <c r="AB19" s="10" t="n"/>
      <c r="AC19" s="10" t="n"/>
      <c r="AD19" s="10" t="n"/>
      <c r="AE19" s="13" t="inlineStr">
        <is>
          <t>https://files.instinct.com/q91pr53q4umo-entidades-publicas-poder-y-presupuesto</t>
        </is>
      </c>
      <c r="AF19" s="10" t="inlineStr">
        <is>
          <t>12/10/2026</t>
        </is>
      </c>
      <c r="AG19" s="10" t="n"/>
      <c r="AH19" s="10" t="n"/>
      <c r="AI19" s="10" t="inlineStr">
        <is>
          <t>Personas realmente ocupadas; no equiparar vocales, puestos RPT o apoyo ministerial con plantilla</t>
        </is>
      </c>
      <c r="AJ19" s="10" t="inlineStr">
        <is>
          <t>Pendiente: sin cifra de personal ocupado verificada en el conjunto actual</t>
        </is>
      </c>
      <c r="AK19" s="10" t="n"/>
      <c r="AL19" s="12" t="n"/>
      <c r="AM19" s="10" t="n"/>
      <c r="AN19" s="10" t="n"/>
      <c r="AO19" s="10" t="inlineStr">
        <is>
          <t>Pendiente: sin coste de personal individual verificado en el conjunto actual</t>
        </is>
      </c>
      <c r="AP19" s="10" t="n"/>
      <c r="AQ19" s="12" t="n"/>
      <c r="AR19" s="10" t="n"/>
      <c r="AS19" s="10" t="n"/>
      <c r="AT19" s="10" t="n"/>
      <c r="AU19" s="10" t="n"/>
      <c r="AV19" s="10" t="inlineStr">
        <is>
          <t>Pendiente: no se ha verificado gasto salarial ejecutado individual en esta versión</t>
        </is>
      </c>
      <c r="AW19" s="10" t="inlineStr">
        <is>
          <t>SIN CIFRA INDIVIDUAL IDENTIFICADA de presupuesto, personal ocupado y salarios ejecutados en fuentes revisadas. No significa cero ni prueba de que nada esté publicado.</t>
        </is>
      </c>
      <c r="AX19" s="14" t="n"/>
      <c r="AY19" s="14" t="n"/>
      <c r="AZ19" s="14" t="n"/>
      <c r="BA19" s="14" t="n"/>
      <c r="BB19" s="14" t="inlineStr">
        <is>
          <t>Apoyo ministerial/departamental indicado en el lote y norma de la ficha; gasto individual no desglosado verificado. No repartir gasto total del ministerio. Medios de AESAN (secretaría)</t>
        </is>
      </c>
      <c r="BC19" s="10" t="inlineStr">
        <is>
          <t>Funciones técnicas de nutrición; propuestas e informes expresamente no vinculantes</t>
        </is>
      </c>
      <c r="BD19" s="10" t="inlineStr">
        <is>
          <t>No informe obligatorio general de aprobación de leyes identificado en funciones revisadas</t>
        </is>
      </c>
      <c r="BE19" s="10" t="inlineStr">
        <is>
          <t>No vinculantes expresamente (Cuarto.3)</t>
        </is>
      </c>
      <c r="BF19" s="10" t="inlineStr">
        <is>
          <t>Sin veto normativo atribuido por las funciones revisadas; informar a las Cortes o asesorar no equivale a aprobar una ley. Alcance limitado a disposición revisada, no auditoría de todas las normas sectoriales posteriores.</t>
        </is>
      </c>
      <c r="BG19" s="10" t="inlineStr">
        <is>
          <t>Resolución de 28/01/2013, apartados Segundo y Cuarto.3</t>
        </is>
      </c>
      <c r="BH19" s="10" t="inlineStr">
        <is>
          <t>https://www.boe.es/diario_boe/txt.php?id=BOE-A-2013-2074</t>
        </is>
      </c>
      <c r="BI19" s="12" t="n"/>
      <c r="BJ19" s="12" t="n"/>
      <c r="BK19" s="12" t="n"/>
      <c r="BL19" s="12" t="n"/>
      <c r="BM19" s="10" t="n"/>
      <c r="BN19" s="10" t="n"/>
      <c r="BO19" s="12" t="n"/>
      <c r="BP19" s="12" t="n"/>
      <c r="BQ19" s="12" t="n"/>
      <c r="BR19" s="12" t="n"/>
      <c r="BS19" s="12" t="n"/>
      <c r="BT19" s="12" t="n"/>
      <c r="BU19" s="12" t="n"/>
      <c r="BV19" s="27" t="inlineStr">
        <is>
          <t>No útil</t>
        </is>
      </c>
      <c r="BW19" s="27" t="inlineStr">
        <is>
          <t>Suprimir</t>
        </is>
      </c>
      <c r="BX19" s="27" t="inlineStr">
        <is>
          <t>Consultivo o participación</t>
        </is>
      </c>
      <c r="BY19" s="12" t="n"/>
      <c r="BZ19" s="27" t="inlineStr">
        <is>
          <t>No</t>
        </is>
      </c>
      <c r="CA19" s="27" t="inlineStr">
        <is>
          <t>Acreditada</t>
        </is>
      </c>
      <c r="CB19" s="27" t="inlineStr">
        <is>
          <t>Observatorio, consejo o comisión: el P100 los cierra salvo que su ministerio demuestre que su trabajo cambia decisiones o mejora un servicio; publicar informes no cuenta.</t>
        </is>
      </c>
      <c r="CC19" s="27" t="inlineStr">
        <is>
          <t>Explícito en el P100: Costes del Estado 2</t>
        </is>
      </c>
      <c r="CD19" s="27" t="inlineStr">
        <is>
          <t>Estructura ordinaria del ministerio, si alguna función resultara imprescindible</t>
        </is>
      </c>
      <c r="CE19" s="27" t="inlineStr">
        <is>
          <t>Nutrición y obesidad</t>
        </is>
      </c>
      <c r="CF19" s="12" t="n"/>
      <c r="CG19" s="27" t="inlineStr">
        <is>
          <t>Apoyo: Unidad técnica de la Estrategia NAOS (AESAN), con sus recursos humanos y materiales (apdo. Cuarto.1). Secretaría: un representante de AESAN responsable del seguimiento de NAOS (apdo. Tercero.1.D). vocales: 14. miembros: no retribuidos (apdo. Quinto del Acuerdo CM 18/01/2013: «no percibirán remuneración alguna en el ejercicio de sus funciones»).</t>
        </is>
      </c>
      <c r="CH19" s="29">
        <f>IF(AND(ISNUMBER(BP19),ISNUMBER(AG19),AG19&gt;0),BP19*1000000/AG19,"")</f>
        <v/>
      </c>
      <c r="CI19" s="12" t="n"/>
      <c r="CJ19" s="12" t="n"/>
      <c r="CK19" s="12" t="n"/>
      <c r="CL19" s="12" t="n"/>
      <c r="CM19" s="12" t="n"/>
      <c r="CN19" s="12" t="n"/>
      <c r="CO19" s="12" t="n"/>
      <c r="CP19" s="12" t="n"/>
      <c r="CQ19" s="12" t="n"/>
      <c r="CR19" s="12" t="n"/>
      <c r="CS19" s="12" t="n"/>
    </row>
    <row r="20">
      <c r="A20" s="10" t="n">
        <v>19</v>
      </c>
      <c r="B20" s="10" t="inlineStr">
        <is>
          <t>Estatal</t>
        </is>
      </c>
      <c r="C20" s="10" t="inlineStr">
        <is>
          <t>Estado</t>
        </is>
      </c>
      <c r="D20" s="10" t="inlineStr">
        <is>
          <t>Zapatero</t>
        </is>
      </c>
      <c r="E20" s="10" t="inlineStr">
        <is>
          <t>Consejo Estatal de Responsabilidad Social de las Empresas (CERSE)</t>
        </is>
      </c>
      <c r="F20" s="10" t="inlineStr">
        <is>
          <t>Órgano colegiado nuevo</t>
        </is>
      </c>
      <c r="G20" s="10" t="inlineStr">
        <is>
          <t>2008-02-15</t>
        </is>
      </c>
      <c r="H20" s="10" t="inlineStr">
        <is>
          <t>RD 221/2008</t>
        </is>
      </c>
      <c r="I20" s="10" t="inlineStr">
        <is>
          <t>Asesorar políticas de responsabilidad social empresarial; foro entre administración, empresas, sindicatos y otras organizaciones.</t>
        </is>
      </c>
      <c r="J20" s="10" t="inlineStr">
        <is>
          <t>Juicio: sin poder sancionador ni vinculante. Hay señal oficial de debilidad operativa: el ministerio habla en 2026 de reactivación y más de diez años desde último nombramiento de vocalías.</t>
        </is>
      </c>
      <c r="K20" s="11" t="n"/>
      <c r="L20" s="10" t="n"/>
      <c r="M20" s="10" t="n"/>
      <c r="N20" s="10" t="n"/>
      <c r="O20" s="10" t="inlineStr">
        <is>
          <t>Sin cifra propia actual verificada</t>
        </is>
      </c>
      <c r="P20" s="12" t="n"/>
      <c r="Q20" s="12" t="n"/>
      <c r="R20" s="10" t="inlineStr">
        <is>
          <t>No se ha identificado dotación individual en las fuentes consultadas. Se financia con medios del órgano matriz; no equivale a cero EUR y no se le atribuye todo el presupuesto ministerial.</t>
        </is>
      </c>
      <c r="S20" s="10" t="inlineStr">
        <is>
          <t>31/08/2026, salvo indicación distinta</t>
        </is>
      </c>
      <c r="T20" s="10" t="inlineStr">
        <is>
          <t>Reactivación/renovación normativa en 2026, no creación de un segundo Consejo.</t>
        </is>
      </c>
      <c r="U20" s="10" t="inlineStr">
        <is>
          <t>La demora en renovar vocalías no prueba ausencia total de actividad ni presupuesto cero.</t>
        </is>
      </c>
      <c r="V20" s="10" t="inlineStr">
        <is>
          <t>No se ha identificado relación en esta revisión (no certifica ausencia)</t>
        </is>
      </c>
      <c r="W20" s="10" t="n"/>
      <c r="X20" s="10" t="inlineStr">
        <is>
          <t>Revisión cualitativa del mandato y estado de las 95 fichas; no auditoría exhaustiva de funciones ni proyectos.</t>
        </is>
      </c>
      <c r="Y20" s="10" t="n"/>
      <c r="Z20" s="30" t="inlineStr">
        <is>
          <t>https://www.boe.es/diario_boe/txt.php?id=BOE-A-2008-3868
https://rse.mites.gob.es/organismos-y-redes/consejo-estatal-de-rse
https://www.boe.es/eli/es/rd/2008/02/15/221/con</t>
        </is>
      </c>
      <c r="AA20" s="12" t="n"/>
      <c r="AB20" s="10" t="n"/>
      <c r="AC20" s="10" t="n"/>
      <c r="AD20" s="10" t="n"/>
      <c r="AE20" s="13" t="inlineStr">
        <is>
          <t>https://files.instinct.com/q91pr53q4umo-entidades-publicas-poder-y-presupuesto</t>
        </is>
      </c>
      <c r="AF20" s="10" t="inlineStr">
        <is>
          <t>12/10/2026</t>
        </is>
      </c>
      <c r="AG20" s="10" t="n"/>
      <c r="AH20" s="10" t="n"/>
      <c r="AI20" s="10" t="inlineStr">
        <is>
          <t>Personas realmente ocupadas; no equiparar vocales, puestos RPT o apoyo ministerial con plantilla</t>
        </is>
      </c>
      <c r="AJ20" s="10" t="inlineStr">
        <is>
          <t>Pendiente: sin cifra de personal ocupado verificada en el conjunto actual</t>
        </is>
      </c>
      <c r="AK20" s="10" t="n"/>
      <c r="AL20" s="12" t="n"/>
      <c r="AM20" s="10" t="n"/>
      <c r="AN20" s="10" t="n"/>
      <c r="AO20" s="10" t="inlineStr">
        <is>
          <t>Pendiente: sin coste de personal individual verificado en el conjunto actual</t>
        </is>
      </c>
      <c r="AP20" s="10" t="n"/>
      <c r="AQ20" s="12" t="n"/>
      <c r="AR20" s="10" t="n"/>
      <c r="AS20" s="10" t="n"/>
      <c r="AT20" s="10" t="n"/>
      <c r="AU20" s="10" t="n"/>
      <c r="AV20" s="10" t="inlineStr">
        <is>
          <t>Pendiente: no se ha verificado gasto salarial ejecutado individual en esta versión</t>
        </is>
      </c>
      <c r="AW20" s="10" t="inlineStr">
        <is>
          <t>SIN CIFRA INDIVIDUAL IDENTIFICADA de presupuesto, personal ocupado y salarios ejecutados en fuentes revisadas. No significa cero ni prueba de que nada esté publicado.</t>
        </is>
      </c>
      <c r="AX20" s="14" t="n"/>
      <c r="AY20" s="14" t="n"/>
      <c r="AZ20" s="14" t="n"/>
      <c r="BA20" s="14" t="n"/>
      <c r="BB20" s="14" t="inlineStr">
        <is>
          <t>Apoyo ministerial/departamental indicado en el lote y norma de la ficha; gasto individual no desglosado verificado. No repartir gasto total del ministerio. Secretaría y medios del Ministerio de Trabajo y Economía Social</t>
        </is>
      </c>
      <c r="BC20" s="10" t="inlineStr">
        <is>
          <t>Consulta y recomendaciones; no vinculantes expresamente</t>
        </is>
      </c>
      <c r="BD20" s="10" t="inlineStr">
        <is>
          <t>Informes a petición del Gobierno o iniciativa propia; no informe obligatorio general sobre leyes en artículos revisados</t>
        </is>
      </c>
      <c r="BE20" s="10" t="inlineStr">
        <is>
          <t>NO vinculantes, expresamente art 7.2</t>
        </is>
      </c>
      <c r="BF20" s="10" t="inlineStr">
        <is>
          <t>No poder de veto normativo en los artículos revisados. El consenso interno del Consejo no convierte sus propuestas en obligatorias para el Gobierno.</t>
        </is>
      </c>
      <c r="BG20" s="10" t="inlineStr">
        <is>
          <t>RD 221/2008 arts 3(c),4.1(a),7.2</t>
        </is>
      </c>
      <c r="BH20" s="10" t="inlineStr">
        <is>
          <t>https://www.boe.es/diario_boe/txt.php?id=BOE-A-2008-3868</t>
        </is>
      </c>
      <c r="BI20" s="12" t="n"/>
      <c r="BJ20" s="12" t="n"/>
      <c r="BK20" s="12" t="n"/>
      <c r="BL20" s="12" t="n"/>
      <c r="BM20" s="10" t="n"/>
      <c r="BN20" s="10" t="n"/>
      <c r="BO20" s="12" t="n"/>
      <c r="BP20" s="12" t="n"/>
      <c r="BQ20" s="12" t="n"/>
      <c r="BR20" s="12" t="n"/>
      <c r="BS20" s="12" t="n"/>
      <c r="BT20" s="12" t="n"/>
      <c r="BU20" s="12" t="n"/>
      <c r="BV20" s="27" t="inlineStr">
        <is>
          <t>No útil</t>
        </is>
      </c>
      <c r="BW20" s="27" t="inlineStr">
        <is>
          <t>Suprimir</t>
        </is>
      </c>
      <c r="BX20" s="27" t="inlineStr">
        <is>
          <t>Consultivo o participación</t>
        </is>
      </c>
      <c r="BY20" s="12" t="n"/>
      <c r="BZ20" s="27" t="inlineStr">
        <is>
          <t>No</t>
        </is>
      </c>
      <c r="CA20" s="27" t="inlineStr">
        <is>
          <t>No acreditada</t>
        </is>
      </c>
      <c r="CB20" s="27" t="inlineStr">
        <is>
          <t>Observatorio, consejo o comisión: el P100 los cierra salvo que su ministerio demuestre que su trabajo cambia decisiones o mejora un servicio; publicar informes no cuenta.</t>
        </is>
      </c>
      <c r="CC20" s="27" t="inlineStr">
        <is>
          <t>Explícito en el P100: Costes del Estado 2</t>
        </is>
      </c>
      <c r="CD20" s="27" t="inlineStr">
        <is>
          <t>Estructura ordinaria del ministerio, si alguna función resultara imprescindible</t>
        </is>
      </c>
      <c r="CE20" s="27" t="inlineStr">
        <is>
          <t>Responsabilidad social empresarial</t>
        </is>
      </c>
      <c r="CF20" s="12" t="n"/>
      <c r="CG20" s="27" t="inlineStr">
        <is>
          <t>Apoyo: DG competente en RSE (Economía Social y RSE): preparación, apoyo técnico y gestión (art. 2.2); su titular asume la secretaría y «podrá disponer de la asistencia de personal de apoyo» (art. 5.3, redacción RD 301/2026); medios de la SE de Economía Social (DA 4.ª). vocales: 56.</t>
        </is>
      </c>
      <c r="CH20" s="29">
        <f>IF(AND(ISNUMBER(BP20),ISNUMBER(AG20),AG20&gt;0),BP20*1000000/AG20,"")</f>
        <v/>
      </c>
      <c r="CI20" s="12" t="n"/>
      <c r="CJ20" s="12" t="n"/>
      <c r="CK20" s="12" t="n"/>
      <c r="CL20" s="12" t="n"/>
      <c r="CM20" s="12" t="n"/>
      <c r="CN20" s="12" t="n"/>
      <c r="CO20" s="12" t="n"/>
      <c r="CP20" s="12" t="n"/>
      <c r="CQ20" s="12" t="n"/>
      <c r="CR20" s="12" t="n"/>
      <c r="CS20" s="12" t="n"/>
    </row>
    <row r="21">
      <c r="A21" s="10" t="n">
        <v>20</v>
      </c>
      <c r="B21" s="10" t="inlineStr">
        <is>
          <t>Estatal</t>
        </is>
      </c>
      <c r="C21" s="10" t="inlineStr">
        <is>
          <t>Estado</t>
        </is>
      </c>
      <c r="D21" s="10" t="inlineStr">
        <is>
          <t>Zapatero</t>
        </is>
      </c>
      <c r="E21" s="10" t="inlineStr">
        <is>
          <t>Consejo Estatal del Pueblo Gitano</t>
        </is>
      </c>
      <c r="F21" s="10" t="inlineStr">
        <is>
          <t>Órgano colegiado nuevo</t>
        </is>
      </c>
      <c r="G21" s="10" t="inlineStr">
        <is>
          <t>2005-07-22</t>
        </is>
      </c>
      <c r="H21" s="10" t="inlineStr">
        <is>
          <t>RD 891/2005</t>
        </is>
      </c>
      <c r="I21" s="10" t="inlineStr">
        <is>
          <t>Participación de movimiento asociativo gitano y asesoramiento de políticas de inclusión.</t>
        </is>
      </c>
      <c r="J21" s="10" t="inlineStr">
        <is>
          <t>Juicio: representación/consulta, no potestad sancionadora ni poder de ejecución autónomo.</t>
        </is>
      </c>
      <c r="K21" s="11" t="n"/>
      <c r="L21" s="10" t="n"/>
      <c r="M21" s="10" t="n"/>
      <c r="N21" s="10" t="n"/>
      <c r="O21" s="10" t="inlineStr">
        <is>
          <t>Sin cifra propia actual verificada</t>
        </is>
      </c>
      <c r="P21" s="12" t="n"/>
      <c r="Q21" s="12" t="n"/>
      <c r="R21" s="10" t="inlineStr">
        <is>
          <t>No se ha identificado dotación individual en las fuentes consultadas. Se financia con medios del órgano matriz; no equivale a cero EUR y no se le atribuye todo el presupuesto ministerial.</t>
        </is>
      </c>
      <c r="S21" s="10" t="inlineStr">
        <is>
          <t>31/08/2026, salvo indicación distinta</t>
        </is>
      </c>
      <c r="T21" s="10" t="inlineStr">
        <is>
          <t>Creación acreditada; actividad reciente no auditada.</t>
        </is>
      </c>
      <c r="U21" s="10" t="inlineStr">
        <is>
          <t>No se ha verificado el número actual de puestos ocupados ni la independencia práctica de su dirección.</t>
        </is>
      </c>
      <c r="V21" s="10" t="inlineStr">
        <is>
          <t>No se ha identificado relación en esta revisión (no certifica ausencia)</t>
        </is>
      </c>
      <c r="W21" s="10" t="n"/>
      <c r="X21" s="10" t="inlineStr">
        <is>
          <t>Revisión cualitativa del mandato y estado de las 95 fichas; no auditoría exhaustiva de funciones ni proyectos.</t>
        </is>
      </c>
      <c r="Y21" s="10" t="n"/>
      <c r="Z21" s="30" t="inlineStr">
        <is>
          <t>https://www.boe.es/boe/dias/2005/08/26/pdfs/A29622-29625.pdf
https://www.boe.es/buscar/pdf/2005/BOE-A-2005-14549-consolidado.pdf</t>
        </is>
      </c>
      <c r="AA21" s="12" t="n"/>
      <c r="AB21" s="10" t="n"/>
      <c r="AC21" s="10" t="n"/>
      <c r="AD21" s="10" t="n"/>
      <c r="AE21" s="13" t="inlineStr">
        <is>
          <t>https://files.instinct.com/q91pr53q4umo-entidades-publicas-poder-y-presupuesto</t>
        </is>
      </c>
      <c r="AF21" s="10" t="inlineStr">
        <is>
          <t>12/10/2026</t>
        </is>
      </c>
      <c r="AG21" s="10" t="n"/>
      <c r="AH21" s="10" t="n"/>
      <c r="AI21" s="10" t="inlineStr">
        <is>
          <t>Personas realmente ocupadas; no equiparar vocales, puestos RPT o apoyo ministerial con plantilla</t>
        </is>
      </c>
      <c r="AJ21" s="10" t="inlineStr">
        <is>
          <t>Pendiente: sin cifra de personal ocupado verificada en el conjunto actual</t>
        </is>
      </c>
      <c r="AK21" s="10" t="n"/>
      <c r="AL21" s="12" t="n"/>
      <c r="AM21" s="10" t="n"/>
      <c r="AN21" s="10" t="n"/>
      <c r="AO21" s="10" t="inlineStr">
        <is>
          <t>Pendiente: sin coste de personal individual verificado en el conjunto actual</t>
        </is>
      </c>
      <c r="AP21" s="10" t="n"/>
      <c r="AQ21" s="12" t="n"/>
      <c r="AR21" s="10" t="n"/>
      <c r="AS21" s="10" t="n"/>
      <c r="AT21" s="10" t="n"/>
      <c r="AU21" s="10" t="n"/>
      <c r="AV21" s="10" t="inlineStr">
        <is>
          <t>Pendiente: no se ha verificado gasto salarial ejecutado individual en esta versión</t>
        </is>
      </c>
      <c r="AW21" s="10" t="inlineStr">
        <is>
          <t>SIN CIFRA INDIVIDUAL IDENTIFICADA de presupuesto, personal ocupado y salarios ejecutados en fuentes revisadas. No significa cero ni prueba de que nada esté publicado.</t>
        </is>
      </c>
      <c r="AX21" s="14" t="n"/>
      <c r="AY21" s="14" t="n"/>
      <c r="AZ21" s="14" t="n"/>
      <c r="BA21" s="14" t="n"/>
      <c r="BB21" s="14" t="inlineStr">
        <is>
          <t>Apoyo ministerial/departamental indicado en el lote y norma de la ficha; gasto individual no desglosado verificado. No repartir gasto total del ministerio. Secretaría técnica del M. Derechos Sociales</t>
        </is>
      </c>
      <c r="BC21" s="10" t="inlineStr">
        <is>
          <t>Dictámenes sobre proyectos normativos sometidos a su consideración</t>
        </is>
      </c>
      <c r="BD21" s="10" t="inlineStr">
        <is>
          <t>No informe obligatorio general de aprobación de leyes identificado en funciones revisadas</t>
        </is>
      </c>
      <c r="BE21" s="10" t="inlineStr">
        <is>
          <t>No consentimiento favorable obligatorio establecido en funciones revisadas</t>
        </is>
      </c>
      <c r="BF21" s="10" t="inlineStr">
        <is>
          <t>Sin veto normativo atribuido por las funciones revisadas; informar a las Cortes o asesorar no equivale a aprobar una ley. Alcance limitado a disposición revisada, no auditoría de todas las normas sectoriales posteriores.</t>
        </is>
      </c>
      <c r="BG21" s="10" t="inlineStr">
        <is>
          <t>RD 891/2005 art.3.1(d)</t>
        </is>
      </c>
      <c r="BH21" s="10" t="inlineStr">
        <is>
          <t>https://www.boe.es/boe/dias/2005/08/26/pdfs/A29622-29625.pdf</t>
        </is>
      </c>
      <c r="BI21" s="12" t="n"/>
      <c r="BJ21" s="12" t="n"/>
      <c r="BK21" s="12" t="n"/>
      <c r="BL21" s="12" t="n"/>
      <c r="BM21" s="10" t="n"/>
      <c r="BN21" s="10" t="n"/>
      <c r="BO21" s="12" t="n"/>
      <c r="BP21" s="12" t="n"/>
      <c r="BQ21" s="12" t="n"/>
      <c r="BR21" s="12" t="n"/>
      <c r="BS21" s="12" t="n"/>
      <c r="BT21" s="12" t="n"/>
      <c r="BU21" s="12" t="n"/>
      <c r="BV21" s="27" t="inlineStr">
        <is>
          <t>No útil</t>
        </is>
      </c>
      <c r="BW21" s="27" t="inlineStr">
        <is>
          <t>Suprimir</t>
        </is>
      </c>
      <c r="BX21" s="27" t="inlineStr">
        <is>
          <t>Consultivo o participación</t>
        </is>
      </c>
      <c r="BY21" s="12" t="n"/>
      <c r="BZ21" s="27" t="inlineStr">
        <is>
          <t>No</t>
        </is>
      </c>
      <c r="CA21" s="27" t="inlineStr">
        <is>
          <t>Acreditada</t>
        </is>
      </c>
      <c r="CB21" s="27" t="inlineStr">
        <is>
          <t>Observatorio, consejo o comisión: el P100 los cierra salvo que su ministerio demuestre que su trabajo cambia decisiones o mejora un servicio; publicar informes no cuenta.</t>
        </is>
      </c>
      <c r="CC21" s="27" t="inlineStr">
        <is>
          <t>Explícito en el P100: Costes del Estado 2</t>
        </is>
      </c>
      <c r="CD21" s="27" t="inlineStr">
        <is>
          <t>Estructura ordinaria del ministerio, si alguna función resultara imprescindible</t>
        </is>
      </c>
      <c r="CE21" s="27" t="inlineStr">
        <is>
          <t>Participación: pueblo gitano</t>
        </is>
      </c>
      <c r="CF21" s="12" t="n"/>
      <c r="CG21" s="27" t="inlineStr">
        <is>
          <t>Apoyo: Secretaría: titular de la SG de Programas Sociales, que «podrá ser asistido por el personal de apoyo necesario» (art. 8.1 RD 891/2005); la web ministerial la sitúa hoy en la SG de Servicios Sociales. Coste con cargo a créditos del ministerio (DA 2.ª). vocales: 42.</t>
        </is>
      </c>
      <c r="CH21" s="29">
        <f>IF(AND(ISNUMBER(BP21),ISNUMBER(AG21),AG21&gt;0),BP21*1000000/AG21,"")</f>
        <v/>
      </c>
      <c r="CI21" s="12" t="n"/>
      <c r="CJ21" s="12" t="n"/>
      <c r="CK21" s="12" t="n"/>
      <c r="CL21" s="12" t="n"/>
      <c r="CM21" s="12" t="n"/>
      <c r="CN21" s="12" t="n"/>
      <c r="CO21" s="12" t="n"/>
      <c r="CP21" s="12" t="n"/>
      <c r="CQ21" s="12" t="n"/>
      <c r="CR21" s="12" t="n"/>
      <c r="CS21" s="12" t="n"/>
    </row>
    <row r="22">
      <c r="A22" s="10" t="n">
        <v>21</v>
      </c>
      <c r="B22" s="10" t="inlineStr">
        <is>
          <t>Estatal</t>
        </is>
      </c>
      <c r="C22" s="10" t="inlineStr">
        <is>
          <t>Estado</t>
        </is>
      </c>
      <c r="D22" s="10" t="inlineStr">
        <is>
          <t>Zapatero</t>
        </is>
      </c>
      <c r="E22" s="10" t="inlineStr">
        <is>
          <t>Consejo de Participación de la Mujer</t>
        </is>
      </c>
      <c r="F22" s="10" t="inlineStr">
        <is>
          <t>Órgano colegiado nuevo creado por ley y regulado después</t>
        </is>
      </c>
      <c r="G22" s="10" t="inlineStr">
        <is>
          <t>2007-03-22</t>
        </is>
      </c>
      <c r="H22" s="10" t="inlineStr">
        <is>
          <t>LO 3/2007, art.78; RD 1791/2009, 20 de noviembre</t>
        </is>
      </c>
      <c r="I22" s="10" t="inlineStr">
        <is>
          <t>Canalizar participación de asociaciones y entidades de mujeres en igualdad; informes y propuestas.</t>
        </is>
      </c>
      <c r="J22" s="10" t="inlineStr">
        <is>
          <t>Juicio: consultivo, sin facultad general de imponer medidas o sanciones.</t>
        </is>
      </c>
      <c r="K22" s="11" t="n"/>
      <c r="L22" s="10" t="n"/>
      <c r="M22" s="10" t="n"/>
      <c r="N22" s="10" t="n"/>
      <c r="O22" s="10" t="inlineStr">
        <is>
          <t>Sin cifra propia actual verificada</t>
        </is>
      </c>
      <c r="P22" s="12" t="n"/>
      <c r="Q22" s="12" t="n"/>
      <c r="R22" s="10" t="inlineStr">
        <is>
          <t>No se ha identificado dotación individual en las fuentes consultadas. Se financia con medios del órgano matriz; no equivale a cero EUR y no se le atribuye todo el presupuesto ministerial.</t>
        </is>
      </c>
      <c r="S22" s="10" t="inlineStr">
        <is>
          <t>31/08/2026, salvo indicación distinta</t>
        </is>
      </c>
      <c r="T22" s="10" t="inlineStr">
        <is>
          <t>Creación acreditada; actividad reciente no auditada.</t>
        </is>
      </c>
      <c r="U22" s="10" t="inlineStr">
        <is>
          <t>No se ha verificado el número actual de puestos ocupados ni la independencia práctica de su dirección.</t>
        </is>
      </c>
      <c r="V22" s="10" t="inlineStr">
        <is>
          <t>Ámbito compartido; sector especializado</t>
        </is>
      </c>
      <c r="W22" s="10" t="inlineStr">
        <is>
          <t>48, 50</t>
        </is>
      </c>
      <c r="X22" s="10" t="inlineStr">
        <is>
          <t>Igualdad y participación: consejo general de mujeres, observatorio I+D+i y observatorio cultural. Sectores y funciones no equivalentes.</t>
        </is>
      </c>
      <c r="Y22" s="10" t="inlineStr">
        <is>
          <t>https://www.boe.es/buscar/act.php?id=BOE-A-2009-20160
https://www.boe.es/boe/dias/2018/12/11/pdfs/BOE-A-2018-16905.pdf
https://www.boe.es/buscar/act.php?id=BOE-A-2020-13026
https://www.cultura.gob.es/dam/jcr:85ee66d9-d300-4e8a-9903-07653ae01b27/report-orden-reguladora-observatorio-igualdad.pdf
https://www.cultura.gob.es/cultura/mc/espacio-igualdad/observatorio.html</t>
        </is>
      </c>
      <c r="Z22" s="30" t="inlineStr">
        <is>
          <t>https://www.boe.es/buscar/act.php?id=BOE-A-2009-20160
https://www.boe.es/eli/es/rd/2009/11/20/1791/con</t>
        </is>
      </c>
      <c r="AA22" s="12" t="n"/>
      <c r="AB22" s="10" t="n"/>
      <c r="AC22" s="10" t="n"/>
      <c r="AD22" s="10" t="n"/>
      <c r="AE22" s="13" t="inlineStr">
        <is>
          <t>https://files.instinct.com/q91pr53q4umo-entidades-publicas-poder-y-presupuesto</t>
        </is>
      </c>
      <c r="AF22" s="10" t="inlineStr">
        <is>
          <t>12/10/2026</t>
        </is>
      </c>
      <c r="AG22" s="10" t="n"/>
      <c r="AH22" s="10" t="n"/>
      <c r="AI22" s="10" t="inlineStr">
        <is>
          <t>Personas realmente ocupadas; no equiparar vocales, puestos RPT o apoyo ministerial con plantilla</t>
        </is>
      </c>
      <c r="AJ22" s="10" t="inlineStr">
        <is>
          <t>Pendiente: sin cifra de personal ocupado verificada en el conjunto actual</t>
        </is>
      </c>
      <c r="AK22" s="10" t="n"/>
      <c r="AL22" s="12" t="n"/>
      <c r="AM22" s="10" t="n"/>
      <c r="AN22" s="10" t="n"/>
      <c r="AO22" s="10" t="inlineStr">
        <is>
          <t>Pendiente: sin coste de personal individual verificado en el conjunto actual</t>
        </is>
      </c>
      <c r="AP22" s="10" t="n"/>
      <c r="AQ22" s="12" t="n"/>
      <c r="AR22" s="10" t="n"/>
      <c r="AS22" s="10" t="n"/>
      <c r="AT22" s="10" t="n"/>
      <c r="AU22" s="10" t="n"/>
      <c r="AV22" s="10" t="inlineStr">
        <is>
          <t>Pendiente: no se ha verificado gasto salarial ejecutado individual en esta versión</t>
        </is>
      </c>
      <c r="AW22" s="10" t="inlineStr">
        <is>
          <t>SIN CIFRA INDIVIDUAL IDENTIFICADA de presupuesto, personal ocupado y salarios ejecutados en fuentes revisadas. No significa cero ni prueba de que nada esté publicado.</t>
        </is>
      </c>
      <c r="AX22" s="14" t="n"/>
      <c r="AY22" s="14" t="n"/>
      <c r="AZ22" s="14" t="n"/>
      <c r="BA22" s="14" t="n"/>
      <c r="BB22" s="14" t="inlineStr">
        <is>
          <t>Apoyo ministerial/departamental indicado en el lote y norma de la ficha; gasto individual no desglosado verificado. No repartir gasto total del ministerio. Medios del Ministerio de Igualdad</t>
        </is>
      </c>
      <c r="BC22" s="10" t="inlineStr">
        <is>
          <t>Consulta sobre anteproyectos de ley y reales decretos cuando se solicita</t>
        </is>
      </c>
      <c r="BD22" s="10" t="inlineStr">
        <is>
          <t>No exigencia general sobre leyes en la disposición revisada; sí informe preceptivo sobre Plan Estratégico de Igualdad</t>
        </is>
      </c>
      <c r="BE22" s="10" t="inlineStr">
        <is>
          <t>No se exige dictamen favorable en el art 3.2</t>
        </is>
      </c>
      <c r="BF22" s="10" t="inlineStr">
        <is>
          <t>Plazo mínimo para informe solicitado:30 días, urgencia 10. Es un trámite consultivo, no veto legislativo acreditado. No confundir el plan con una ley.</t>
        </is>
      </c>
      <c r="BG22" s="10" t="inlineStr">
        <is>
          <t>RD 1791/2009 art 3.2</t>
        </is>
      </c>
      <c r="BH22" s="10" t="inlineStr">
        <is>
          <t>https://www.boe.es/buscar/act.php?id=BOE-A-2009-20160</t>
        </is>
      </c>
      <c r="BI22" s="12" t="n"/>
      <c r="BJ22" s="12" t="n"/>
      <c r="BK22" s="12" t="n"/>
      <c r="BL22" s="12" t="n"/>
      <c r="BM22" s="10" t="n"/>
      <c r="BN22" s="10" t="n"/>
      <c r="BO22" s="12" t="n"/>
      <c r="BP22" s="12" t="n"/>
      <c r="BQ22" s="12" t="n"/>
      <c r="BR22" s="12" t="n"/>
      <c r="BS22" s="12" t="n"/>
      <c r="BT22" s="12" t="n"/>
      <c r="BU22" s="12" t="n"/>
      <c r="BV22" s="27" t="inlineStr">
        <is>
          <t>No útil</t>
        </is>
      </c>
      <c r="BW22" s="27" t="inlineStr">
        <is>
          <t>Suprimir</t>
        </is>
      </c>
      <c r="BX22" s="27" t="inlineStr">
        <is>
          <t>Consultivo o participación</t>
        </is>
      </c>
      <c r="BY22" s="12" t="n"/>
      <c r="BZ22" s="27" t="inlineStr">
        <is>
          <t>No</t>
        </is>
      </c>
      <c r="CA22" s="27" t="inlineStr">
        <is>
          <t>No acreditada</t>
        </is>
      </c>
      <c r="CB22" s="27" t="inlineStr">
        <is>
          <t>Observatorio, consejo o comisión: el P100 los cierra salvo que su ministerio demuestre que su trabajo cambia decisiones o mejora un servicio; publicar informes no cuenta.</t>
        </is>
      </c>
      <c r="CC22" s="27" t="inlineStr">
        <is>
          <t>Explícito en el P100: Costes del Estado 2</t>
        </is>
      </c>
      <c r="CD22" s="27" t="inlineStr">
        <is>
          <t>Estructura ordinaria del ministerio, si alguna función resultara imprescindible</t>
        </is>
      </c>
      <c r="CE22" s="27" t="inlineStr">
        <is>
          <t>Participación: mujeres</t>
        </is>
      </c>
      <c r="CF22" s="12" t="n"/>
      <c r="CG22" s="27" t="inlineStr">
        <is>
          <t>Apoyo: Secretaría: Presidencia del Instituto de las Mujeres, O.A. (art. 7.1, redacción RD 634/2026); asistencia técnica a las vocalías «por medio de los servicios correspondientes» (art. 7.2.d); créditos del Ministerio de Igualdad (DA 4.ª). vocales: 40.</t>
        </is>
      </c>
      <c r="CH22" s="29">
        <f>IF(AND(ISNUMBER(BP22),ISNUMBER(AG22),AG22&gt;0),BP22*1000000/AG22,"")</f>
        <v/>
      </c>
      <c r="CI22" s="12" t="n"/>
      <c r="CJ22" s="12" t="n"/>
      <c r="CK22" s="12" t="n"/>
      <c r="CL22" s="12" t="n"/>
      <c r="CM22" s="12" t="n"/>
      <c r="CN22" s="12" t="n"/>
      <c r="CO22" s="12" t="n"/>
      <c r="CP22" s="12" t="n"/>
      <c r="CQ22" s="12" t="n"/>
      <c r="CR22" s="12" t="n"/>
      <c r="CS22" s="12" t="n"/>
    </row>
    <row r="23">
      <c r="A23" s="10" t="n">
        <v>22</v>
      </c>
      <c r="B23" s="10" t="inlineStr">
        <is>
          <t>Estatal</t>
        </is>
      </c>
      <c r="C23" s="10" t="inlineStr">
        <is>
          <t>Estado</t>
        </is>
      </c>
      <c r="D23" s="10" t="inlineStr">
        <is>
          <t>Zapatero</t>
        </is>
      </c>
      <c r="E23" s="10" t="inlineStr">
        <is>
          <t>Fundación Pluralismo y Convivencia, F.S.P.</t>
        </is>
      </c>
      <c r="F23" s="10" t="inlineStr">
        <is>
          <t>Fundación estatal nueva</t>
        </is>
      </c>
      <c r="G23" s="10" t="inlineStr">
        <is>
          <t>2004-10-15</t>
        </is>
      </c>
      <c r="H23" s="10" t="inlineStr">
        <is>
          <t>Acuerdo Consejo Ministros 15/10/2004; origen reconocido en RD 45/2021</t>
        </is>
      </c>
      <c r="I23" s="10" t="inlineStr">
        <is>
          <t>Promover libertad religiosa, conocimiento del pluralismo, convivencia y apoyo a confesiones minoritarias.</t>
        </is>
      </c>
      <c r="J23" s="10" t="inlineStr">
        <is>
          <t>Juicio: capacidad real de conceder ayudas y ejecutar programas, sin potestad reguladora o sancionadora. Convocatoria 2026 acredita ejecución.</t>
        </is>
      </c>
      <c r="K23" s="11" t="n"/>
      <c r="L23" s="10" t="n"/>
      <c r="M23" s="10" t="n"/>
      <c r="N23" s="10" t="n"/>
      <c r="O23" s="10" t="inlineStr">
        <is>
          <t>Sin cifra propia actual verificada</t>
        </is>
      </c>
      <c r="P23" s="12" t="n"/>
      <c r="Q23" s="12" t="n"/>
      <c r="R23" s="10" t="inlineStr">
        <is>
          <t>No verificado presupuesto global actual. Convocatoria concreta 2026 para convivencia: 130.000 EUR. Es una línea de ayudas, NO presupuesto total ni transferencia PGE agregada.</t>
        </is>
      </c>
      <c r="S23" s="10" t="inlineStr">
        <is>
          <t>31/08/2026, salvo indicación distinta</t>
        </is>
      </c>
      <c r="T23" s="10" t="inlineStr">
        <is>
          <t>Vigente, con estatutos posteriores.</t>
        </is>
      </c>
      <c r="U23" s="10" t="inlineStr">
        <is>
          <t>Falta obtener el presupuesto total vigente y su conciliación con transferencias PGE; no sumar convocatoria y transferencia.</t>
        </is>
      </c>
      <c r="V23" s="10" t="inlineStr">
        <is>
          <t>No se ha identificado relación en esta revisión (no certifica ausencia)</t>
        </is>
      </c>
      <c r="W23" s="10" t="n"/>
      <c r="X23" s="10" t="inlineStr">
        <is>
          <t>Revisión cualitativa del mandato y estado de las 95 fichas; no auditoría exhaustiva de funciones ni proyectos.</t>
        </is>
      </c>
      <c r="Y23" s="10" t="n"/>
      <c r="Z23" s="10" t="inlineStr">
        <is>
          <t>https://www.pluralismoyconvivencia.es/wp-content/uploads/2021/02/Estatutos-FPyC-2021-1.pdf
https://www.boe.es/diario_boe/txt.php?id=BOE-B-2026-29248</t>
        </is>
      </c>
      <c r="AA23" s="12" t="n">
        <v>0.13</v>
      </c>
      <c r="AB23" s="10" t="inlineStr">
        <is>
          <t>2026</t>
        </is>
      </c>
      <c r="AC23" s="10" t="inlineStr">
        <is>
          <t>Convocatoria parcial; NO presupuesto total</t>
        </is>
      </c>
      <c r="AD23" s="10" t="inlineStr">
        <is>
          <t>Fundación Pluralismo y Convivencia, F.S.P.</t>
        </is>
      </c>
      <c r="AE23" s="13" t="inlineStr">
        <is>
          <t>https://files.instinct.com/q91pr53q4umo-entidades-publicas-poder-y-presupuesto</t>
        </is>
      </c>
      <c r="AF23" s="10" t="inlineStr">
        <is>
          <t>12/10/2026</t>
        </is>
      </c>
      <c r="AG23" s="10" t="n"/>
      <c r="AH23" s="10" t="n"/>
      <c r="AI23" s="10" t="inlineStr">
        <is>
          <t>Personas realmente ocupadas; no equiparar vocales, puestos RPT o apoyo ministerial con plantilla</t>
        </is>
      </c>
      <c r="AJ23" s="10" t="inlineStr">
        <is>
          <t>Pendiente: sin cifra de personal ocupado verificada en el conjunto actual</t>
        </is>
      </c>
      <c r="AK23" s="10" t="n"/>
      <c r="AL23" s="12" t="n"/>
      <c r="AM23" s="10" t="n"/>
      <c r="AN23" s="10" t="n"/>
      <c r="AO23" s="10" t="inlineStr">
        <is>
          <t>Pendiente: sin coste de personal individual verificado en el conjunto actual</t>
        </is>
      </c>
      <c r="AP23" s="10" t="n"/>
      <c r="AQ23" s="12" t="n"/>
      <c r="AR23" s="10" t="n"/>
      <c r="AS23" s="10" t="n"/>
      <c r="AT23" s="10" t="n"/>
      <c r="AU23" s="10" t="n"/>
      <c r="AV23" s="10" t="inlineStr">
        <is>
          <t>Pendiente: no se ha verificado gasto salarial ejecutado individual en esta versión</t>
        </is>
      </c>
      <c r="AW23" s="10" t="inlineStr">
        <is>
          <t>SIN CIFRA INDIVIDUAL IDENTIFICADA de presupuesto, personal ocupado y salarios ejecutados en fuentes revisadas. No significa cero ni prueba de que nada esté publicado.</t>
        </is>
      </c>
      <c r="AX23" s="14" t="n"/>
      <c r="AY23" s="14" t="n"/>
      <c r="AZ23" s="14" t="n"/>
      <c r="BA23" s="14" t="n"/>
      <c r="BB23" s="14" t="n"/>
      <c r="BC23" s="10" t="inlineStr">
        <is>
          <t>Revisado: Pluralismo: asesoramiento y subvenciones</t>
        </is>
      </c>
      <c r="BD23" s="10" t="inlineStr">
        <is>
          <t>Fines de investigación, sensibilización y asesoramiento diversidad religiosa; no consulta normativa general en estatutos.</t>
        </is>
      </c>
      <c r="BE23" s="10" t="inlineStr">
        <is>
          <t>No consentimiento favorable ni veto legislativo establecido en las cláusulas revisadas.</t>
        </is>
      </c>
      <c r="BF23" s="10" t="inlineStr">
        <is>
          <t>Revisión limitada a las atribuciones citadas: no descarta trámites sectoriales en otras normas.</t>
        </is>
      </c>
      <c r="BG23" s="10" t="inlineStr">
        <is>
          <t>Estatutos2021 arts7,9</t>
        </is>
      </c>
      <c r="BH23" s="10" t="inlineStr">
        <is>
          <t>https://www.boe.es/diario_boe/txt.php?id=BOE-A-2021-1193</t>
        </is>
      </c>
      <c r="BI23" s="12" t="n"/>
      <c r="BJ23" s="12" t="n"/>
      <c r="BK23" s="12" t="n"/>
      <c r="BL23" s="12" t="n"/>
      <c r="BM23" s="10" t="n"/>
      <c r="BN23" s="10" t="n"/>
      <c r="BO23" s="12" t="n"/>
      <c r="BP23" s="12" t="n"/>
      <c r="BQ23" s="12" t="n"/>
      <c r="BR23" s="12" t="n"/>
      <c r="BS23" s="12" t="n"/>
      <c r="BT23" s="12" t="n"/>
      <c r="BU23" s="12" t="n"/>
      <c r="BV23" s="27" t="inlineStr">
        <is>
          <t>No útil</t>
        </is>
      </c>
      <c r="BW23" s="27" t="inlineStr">
        <is>
          <t>Suprimir</t>
        </is>
      </c>
      <c r="BX23" s="27" t="inlineStr">
        <is>
          <t>Financiación y ayudas</t>
        </is>
      </c>
      <c r="BY23" s="12" t="n"/>
      <c r="BZ23" s="27" t="inlineStr">
        <is>
          <t>No</t>
        </is>
      </c>
      <c r="CA23" s="27" t="inlineStr">
        <is>
          <t>Acreditada</t>
        </is>
      </c>
      <c r="CB23" s="27" t="inlineStr">
        <is>
          <t>Fundación del sector público que reparte subvenciones a confesiones: el P100 cierra las fundaciones que no demuestren resultados y suprime las subvenciones por existir.</t>
        </is>
      </c>
      <c r="CC23" s="27" t="inlineStr">
        <is>
          <t>Explícito en el P100: Costes del Estado 2 y 3</t>
        </is>
      </c>
      <c r="CD23" s="12" t="n"/>
      <c r="CE23" s="27" t="inlineStr">
        <is>
          <t>Libertad religiosa</t>
        </is>
      </c>
      <c r="CF23" s="12" t="n"/>
      <c r="CG23" s="12" t="n"/>
      <c r="CH23" s="29">
        <f>IF(AND(ISNUMBER(BP23),ISNUMBER(AG23),AG23&gt;0),BP23*1000000/AG23,"")</f>
        <v/>
      </c>
      <c r="CI23" s="12" t="n"/>
      <c r="CJ23" s="12" t="n"/>
      <c r="CK23" s="12" t="n"/>
      <c r="CL23" s="12" t="n"/>
      <c r="CM23" s="12" t="n"/>
      <c r="CN23" s="12" t="n"/>
      <c r="CO23" s="12" t="n"/>
      <c r="CP23" s="12" t="n"/>
      <c r="CQ23" s="12" t="n"/>
      <c r="CR23" s="12" t="n"/>
      <c r="CS23" s="12" t="n"/>
    </row>
    <row r="24">
      <c r="A24" s="10" t="n">
        <v>23</v>
      </c>
      <c r="B24" s="10" t="inlineStr">
        <is>
          <t>Estatal</t>
        </is>
      </c>
      <c r="C24" s="10" t="inlineStr">
        <is>
          <t>Estado</t>
        </is>
      </c>
      <c r="D24" s="10" t="inlineStr">
        <is>
          <t>Rajoy</t>
        </is>
      </c>
      <c r="E24" s="10" t="inlineStr">
        <is>
          <t>Oficina Independiente de Regulación y Supervisión de la Contratación (OIReScon)</t>
        </is>
      </c>
      <c r="F24" s="10" t="inlineStr">
        <is>
          <t>Órgano colegiado nuevo con independencia funcional</t>
        </is>
      </c>
      <c r="G24" s="10" t="inlineStr">
        <is>
          <t>2017-11-08</t>
        </is>
      </c>
      <c r="H24" s="10" t="inlineStr">
        <is>
          <t>Ley 9/2017, art.332; RD 342/2023</t>
        </is>
      </c>
      <c r="I24" s="10" t="inlineStr">
        <is>
          <t>Supervisar contratación pública, aprobar estrategia e instrucciones, emitir informes y remitir indicios a autoridades competentes.</t>
        </is>
      </c>
      <c r="J24" s="10" t="inlineStr">
        <is>
          <t>Juicio: poder supervisor real y ciertas instrucciones obligatorias en el ámbito legal, pero no tribunal de recursos ni fiscalía ni potestad general de anular contratos.</t>
        </is>
      </c>
      <c r="K24" s="11" t="n"/>
      <c r="L24" s="10" t="n"/>
      <c r="M24" s="10" t="n"/>
      <c r="N24" s="10" t="n"/>
      <c r="O24" s="10" t="inlineStr">
        <is>
          <t>Sin cifra propia actual verificada</t>
        </is>
      </c>
      <c r="P24" s="12" t="n"/>
      <c r="Q24" s="12" t="n"/>
      <c r="R24" s="10" t="inlineStr">
        <is>
          <t>No se ha identificado dotación individual en las fuentes consultadas. Se financia con medios del órgano matriz; no equivale a cero EUR y no se le atribuye todo el presupuesto ministerial.</t>
        </is>
      </c>
      <c r="S24" s="10" t="inlineStr">
        <is>
          <t>31/08/2026, salvo indicación distinta</t>
        </is>
      </c>
      <c r="T24" s="10" t="inlineStr">
        <is>
          <t>Creada por ley 2017; funcionamiento desarrollado después.</t>
        </is>
      </c>
      <c r="U24" s="10" t="inlineStr">
        <is>
          <t>No confundir con Junta Consultiva, Tribunal de Recursos Contractuales u Oficina Nacional de Evaluación; falta presupuesto individual actual.</t>
        </is>
      </c>
      <c r="V24" s="10" t="inlineStr">
        <is>
          <t>No se ha identificado relación en esta revisión (no certifica ausencia)</t>
        </is>
      </c>
      <c r="W24" s="10" t="n"/>
      <c r="X24" s="10" t="inlineStr">
        <is>
          <t>Revisión cualitativa del mandato y estado de las 95 fichas; no auditoría exhaustiva de funciones ni proyectos.</t>
        </is>
      </c>
      <c r="Y24" s="10" t="n"/>
      <c r="Z24" s="10" t="inlineStr">
        <is>
          <t>https://www.boe.es/eli/es/l/2017/11/08/9
https://www.boe.es/eli/es/rd/2023/05/09/342/con</t>
        </is>
      </c>
      <c r="AA24" s="12" t="n"/>
      <c r="AB24" s="10" t="n"/>
      <c r="AC24" s="10" t="n"/>
      <c r="AD24" s="10" t="n"/>
      <c r="AE24" s="13" t="inlineStr">
        <is>
          <t>https://files.instinct.com/q91pr53q4umo-entidades-publicas-poder-y-presupuesto</t>
        </is>
      </c>
      <c r="AF24" s="10" t="inlineStr">
        <is>
          <t>12/10/2026</t>
        </is>
      </c>
      <c r="AG24" s="10" t="n">
        <v>30</v>
      </c>
      <c r="AH24" s="10" t="inlineStr">
        <is>
          <t>2025-01-01</t>
        </is>
      </c>
      <c r="AI24" s="10" t="inlineStr">
        <is>
          <t>63,83% ocupación; presidenta + 4 vocales + 25 funcionarios</t>
        </is>
      </c>
      <c r="AJ24" s="10" t="inlineStr">
        <is>
          <t>Cifra de personal publicada en fuente primaria; fecha indicada, no inferir vigencia posterior</t>
        </is>
      </c>
      <c r="AK24" s="10" t="inlineStr">
        <is>
          <t>https://www.hacienda.gob.es/rsc/oirescon/informe-anual-actuaciones/informe-anual-actuaciones-2025.pdf</t>
        </is>
      </c>
      <c r="AL24" s="12" t="n"/>
      <c r="AM24" s="10" t="n"/>
      <c r="AN24" s="10" t="n"/>
      <c r="AO24" s="10" t="inlineStr">
        <is>
          <t>Pendiente: sin coste de personal individual verificado en el conjunto actual</t>
        </is>
      </c>
      <c r="AP24" s="10" t="n"/>
      <c r="AQ24" s="12" t="n"/>
      <c r="AR24" s="10" t="n"/>
      <c r="AS24" s="10" t="n"/>
      <c r="AT24" s="10" t="n"/>
      <c r="AU24" s="10" t="n"/>
      <c r="AV24" s="10" t="inlineStr">
        <is>
          <t>Pendiente: no se ha verificado gasto salarial ejecutado individual en esta versión</t>
        </is>
      </c>
      <c r="AW24" s="10" t="inlineStr">
        <is>
          <t>Hay dato individual de personal o crédito; ver año y fuente. Salarios ejecutados pendientes</t>
        </is>
      </c>
      <c r="AX24" s="14" t="n">
        <v>47</v>
      </c>
      <c r="AY24" s="14" t="inlineStr">
        <is>
          <t>2025-01-01</t>
        </is>
      </c>
      <c r="AZ24" s="14" t="inlineStr">
        <is>
          <t>RPT efectiva (estructura + nuevo ingreso)</t>
        </is>
      </c>
      <c r="BA24" s="14" t="inlineStr">
        <is>
          <t>https://www.hacienda.gob.es/rsc/oirescon/informe-anual-actuaciones/informe-anual-actuaciones-2025.pdf</t>
        </is>
      </c>
      <c r="BB24" s="14" t="n"/>
      <c r="BC24" s="10" t="inlineStr">
        <is>
          <t>Revisado: OIReScon</t>
        </is>
      </c>
      <c r="BD24" s="10" t="inlineStr">
        <is>
          <t>Supervisión de contratación e instrucciones obligatorias AGE; estrategia contratación vinculante para sector público, no autorización legislativa.</t>
        </is>
      </c>
      <c r="BE24" s="10" t="inlineStr">
        <is>
          <t>No consentimiento favorable para leyes establecido en funciones revisadas.</t>
        </is>
      </c>
      <c r="BF24" s="10" t="inlineStr">
        <is>
          <t>No veto legislativo identificado en estas cláusulas; no pretende descartar obligaciones sectoriales en otras normas.</t>
        </is>
      </c>
      <c r="BG24" s="10" t="inlineStr">
        <is>
          <t>Ley9/2017 art332.6-7</t>
        </is>
      </c>
      <c r="BH24" s="10" t="inlineStr">
        <is>
          <t>https://www.boe.es/eli/es/l/2017/11/08/9</t>
        </is>
      </c>
      <c r="BI24" s="12" t="n"/>
      <c r="BJ24" s="12" t="n"/>
      <c r="BK24" s="12" t="n"/>
      <c r="BL24" s="12" t="n"/>
      <c r="BM24" s="10" t="n"/>
      <c r="BN24" s="10" t="n"/>
      <c r="BO24" s="12" t="n"/>
      <c r="BP24" s="12" t="n"/>
      <c r="BQ24" s="12" t="n"/>
      <c r="BR24" s="12" t="n"/>
      <c r="BS24" s="12" t="n"/>
      <c r="BT24" s="12" t="n"/>
      <c r="BU24" s="12" t="n"/>
      <c r="BV24" s="27" t="inlineStr">
        <is>
          <t>Útil</t>
        </is>
      </c>
      <c r="BW24" s="27" t="inlineStr">
        <is>
          <t>Mantener</t>
        </is>
      </c>
      <c r="BX24" s="27" t="inlineStr">
        <is>
          <t>Control interno y cumplimiento</t>
        </is>
      </c>
      <c r="BY24" s="12" t="n"/>
      <c r="BZ24" s="27" t="inlineStr">
        <is>
          <t>No</t>
        </is>
      </c>
      <c r="CA24" s="27" t="inlineStr">
        <is>
          <t>Acreditada</t>
        </is>
      </c>
      <c r="CB24" s="27" t="inlineStr">
        <is>
          <t>Supervisa la contratación pública con independencia; encaja con las medidas de competencia en licitaciones del P100.</t>
        </is>
      </c>
      <c r="CC24" s="27" t="inlineStr">
        <is>
          <t>Aplicando el criterio del P100: Costes del Estado 9 (establecer hechos con independencia)</t>
        </is>
      </c>
      <c r="CD24" s="12" t="n"/>
      <c r="CE24" s="27" t="inlineStr">
        <is>
          <t>Supervisión de la contratación pública</t>
        </is>
      </c>
      <c r="CF24" s="12" t="n"/>
      <c r="CG24" s="12" t="n"/>
      <c r="CH24" s="29">
        <f>IF(AND(ISNUMBER(BP24),ISNUMBER(AG24),AG24&gt;0),BP24*1000000/AG24,"")</f>
        <v/>
      </c>
      <c r="CI24" s="12" t="n"/>
      <c r="CJ24" s="12" t="n"/>
      <c r="CK24" s="12" t="n"/>
      <c r="CL24" s="12" t="n"/>
      <c r="CM24" s="12" t="n"/>
      <c r="CN24" s="12" t="n"/>
      <c r="CO24" s="12" t="n"/>
      <c r="CP24" s="12" t="n"/>
      <c r="CQ24" s="12" t="n"/>
      <c r="CR24" s="12" t="n"/>
      <c r="CS24" s="12" t="n"/>
    </row>
    <row r="25">
      <c r="A25" s="10" t="n">
        <v>24</v>
      </c>
      <c r="B25" s="10" t="inlineStr">
        <is>
          <t>Estatal</t>
        </is>
      </c>
      <c r="C25" s="10" t="inlineStr">
        <is>
          <t>Estado</t>
        </is>
      </c>
      <c r="D25" s="10" t="inlineStr">
        <is>
          <t>Rajoy</t>
        </is>
      </c>
      <c r="E25" s="10" t="inlineStr">
        <is>
          <t>Comisión Nacional de los Mercados y la Competencia (CNMC)</t>
        </is>
      </c>
      <c r="F25" s="10" t="inlineStr">
        <is>
          <t>Fusión/reordenación de reguladores existentes, nueva persona jurídica</t>
        </is>
      </c>
      <c r="G25" s="10" t="inlineStr">
        <is>
          <t>2013-06-04</t>
        </is>
      </c>
      <c r="H25" s="10" t="inlineStr">
        <is>
          <t>Ley 3/2013</t>
        </is>
      </c>
      <c r="I25" s="10" t="inlineStr">
        <is>
          <t>Defender competencia y supervisar mercados de energía, telecomunicaciones, audiovisuales, postal y transportes; sanciones, concentraciones y regulación.</t>
        </is>
      </c>
      <c r="J25" s="10" t="inlineStr">
        <is>
          <t>Juicio: poder vinculante muy alto, con inspección, multas y decisiones. No es un cascarón; su presupuesto bruto incorpora transferencias sectoriales.</t>
        </is>
      </c>
      <c r="K25" s="11" t="n">
        <v>4846.353</v>
      </c>
      <c r="L25" s="10" t="n">
        <v>2026</v>
      </c>
      <c r="M25" s="10" t="inlineStr">
        <is>
          <t>Crédito total actualizado</t>
        </is>
      </c>
      <c r="N25" s="10" t="inlineStr">
        <is>
          <t>31/08/2026</t>
        </is>
      </c>
      <c r="O25" s="10" t="inlineStr">
        <is>
          <t>Cifra propia verificada</t>
        </is>
      </c>
      <c r="P25" s="12" t="n">
        <v>3686.434</v>
      </c>
      <c r="Q25" s="12" t="n">
        <v>1159.919</v>
      </c>
      <c r="R25" s="10" t="inlineStr">
        <is>
          <t>Presupuesto propio, crédito inicial 2026 3.686,434 M EUR; modificaciones netas +1.159,919 M; crédito total 4.846,353 M al 31/08/2026. IGAE p.100, cifras publicadas en miles de euros, no gasto ejecutado ni dotación solo administrativa. Separación agosto: capítulo 1 personal 47,618 M; capítulo 2 bienes/servicios 25,567 M; transferencias capital 4.656,642 M. No llamar a todo ello coste de administración.</t>
        </is>
      </c>
      <c r="S25" s="10" t="inlineStr">
        <is>
          <t>31/08/2026, salvo indicación distinta</t>
        </is>
      </c>
      <c r="T25" s="10" t="inlineStr">
        <is>
          <t>Vigente; absorción de organismos en 2013.</t>
        </is>
      </c>
      <c r="U25" s="10" t="inlineStr">
        <is>
          <t>Modificación positiva neta acreditada; no documentado el expediente causante completo. No comparar presupuesto bruto con organismos exclusivamente consultivos.</t>
        </is>
      </c>
      <c r="V25" s="10" t="inlineStr">
        <is>
          <t>Integración legal; Reordenación legal; constitución previa no confirmada; Reordenación legal; no equivalencia de mandato; Mandato paralelo en distinto nivel territorial</t>
        </is>
      </c>
      <c r="W25" s="10" t="inlineStr">
        <is>
          <t>25, 26, 70, 71, 72, 74, 93</t>
        </is>
      </c>
      <c r="X25" s="10" t="inlineStr">
        <is>
          <t>CNC y Comisión del Sector Postal se integraron en CNMC por Ley 3/2013; no son organismos actuales paralelos. No sumar un presupuesto sucesor a los antiguos. | Ley 3/2013 prevé extinción con CNMC; no se ha confirmado por completo la constitución operativa previa. CEMA conserva conflicto entre fuentes. | Ley 3/2013 prevé extinción de Comisión del Juego. No se atribuye su función de juego a CNMC por esa sola cláusula. | Competencia estatal y autonómica. Facultades territoriales distintas; no prueba de expedientes o gasto duplicados.</t>
        </is>
      </c>
      <c r="Y25"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https://www.boe.es/eli/es/l/2007/07/03/15
https://www.boe.es/eli/es/l/2007/10/08/23/con
https://www.boe.es/eli/es/l/2010/03/31/7
https://www.boe.es/diario_boe/txt.php?id=BOE-A-2011-9735
https://www.cnmc.es/somos-cnmc/sobre-nosotros/que-es-la-cnmc
https://www.boe.es/eli/es/l/2011/05/27/13
https://www.azarplus.com/comision-nacional-del-juego-r-i-p/
https://www.boe.es/eli/es/rdl/2011/08/26/11
https://www.boe.es/buscar/act.php?id=BOE-A-2007-14406
https://www.boe.es/buscar/act.php?id=BOE-A-2012-2313
https://www.euskadi.eus/web01-a3ogaoce/es/contenidos/informacion/ejec_pres_avc_2026/es_def/adjuntos/211_2026_7_DETALLESPORPARTIDAS-GASTOSEINGRESOS_es.pdf</t>
        </is>
      </c>
      <c r="Z25"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t>
        </is>
      </c>
      <c r="AA25" s="12" t="n"/>
      <c r="AB25" s="10" t="n"/>
      <c r="AC25" s="10" t="n"/>
      <c r="AD25" s="10" t="n"/>
      <c r="AE25" s="13" t="inlineStr">
        <is>
          <t>https://files.instinct.com/q91pr53q4umo-entidades-publicas-poder-y-presupuesto</t>
        </is>
      </c>
      <c r="AF25" s="10" t="inlineStr">
        <is>
          <t>12/10/2026</t>
        </is>
      </c>
      <c r="AG25" s="10" t="n">
        <v>579</v>
      </c>
      <c r="AH25" s="10" t="inlineStr">
        <is>
          <t>2025</t>
        </is>
      </c>
      <c r="AI25" s="10" t="inlineStr">
        <is>
          <t>efectivos consolidados</t>
        </is>
      </c>
      <c r="AJ25" s="10" t="inlineStr">
        <is>
          <t>Cifra de personal publicada en fuente primaria; fecha indicada, no inferir vigencia posterior</t>
        </is>
      </c>
      <c r="AK25" s="10" t="inlineStr">
        <is>
          <t>https://www.cnmc.es/sites/default/files/editor_contenidos/CNMC/Memorias/Memoria%20Resumen%20ejecutivo%20CNMC%20web%20.pdf</t>
        </is>
      </c>
      <c r="AL25" s="12" t="n">
        <v>47.618</v>
      </c>
      <c r="AM25" s="10" t="n">
        <v>2026</v>
      </c>
      <c r="AN25" s="10" t="inlineStr">
        <is>
          <t>Capítulo 1: crédito TOTAL actualizado IGAE, corte 31/08/2026</t>
        </is>
      </c>
      <c r="AO25" s="10" t="inlineStr">
        <is>
          <t>Crédito autorizado, no gasto realizado ni solo salarios</t>
        </is>
      </c>
      <c r="AP25" s="10" t="inlineStr">
        <is>
          <t>https://www.igae.pap.hacienda.gob.es/sitios/igae/es-ES/Contabilidad/ContabilidadPublica/CPE/EjecucionPresupuestaria/Documents/ORGANISMOS%2008.%202026.pdf</t>
        </is>
      </c>
      <c r="AQ25" s="12" t="n">
        <v>29.507</v>
      </c>
      <c r="AR25" s="10" t="n">
        <v>2026</v>
      </c>
      <c r="AS25" s="10" t="inlineStr">
        <is>
          <t>Hasta 31/08/2026:8 meses, NO año completo</t>
        </is>
      </c>
      <c r="AT25" s="10" t="inlineStr">
        <is>
          <t>Capítulo 1: obligaciones reconocidas; incluye costes de personal, no desglose salarial puro</t>
        </is>
      </c>
      <c r="AU25" s="10" t="inlineStr">
        <is>
          <t>https://www.igae.pap.hacienda.gob.es/sitios/igae/es-ES/Contabilidad/ContabilidadPublica/CPE/EjecucionPresupuestaria/Documents/ORGANISMOS%2008.%202026.pdf</t>
        </is>
      </c>
      <c r="AV25" s="10" t="inlineStr">
        <is>
          <t>Fuente primaria cotejada contra fila y unidad milesEUR; no estimación</t>
        </is>
      </c>
      <c r="AW25" s="10" t="inlineStr">
        <is>
          <t>Crédito y gasto de personal individual verificados; plantilla ocupada solo si hay cifra y fecha independiente</t>
        </is>
      </c>
      <c r="AX25" s="14" t="n"/>
      <c r="AY25" s="14" t="n"/>
      <c r="AZ25" s="14" t="n"/>
      <c r="BA25" s="14" t="n"/>
      <c r="BB25" s="14" t="inlineStr">
        <is>
          <t>RPT/plantilla aprobada y cap.1: pendiente (cuentas anuales CNMC en portal transparencia)</t>
        </is>
      </c>
      <c r="BC25" s="10" t="inlineStr">
        <is>
          <t>Participa mediante informe en elaboración de normas y puede recurrir reglamentos</t>
        </is>
      </c>
      <c r="BD25" s="10" t="inlineStr">
        <is>
          <t>Participación prevista en art 5.2(a); obligatoriedad depende también de norma sectorial concreta, no resuelta en general</t>
        </is>
      </c>
      <c r="BE25" s="10" t="inlineStr">
        <is>
          <t>No veto legislativo general en art 5.2. Sus decisiones/circulares sectoriales pueden ser vinculantes y son una facultad distinta</t>
        </is>
      </c>
      <c r="BF25" s="10" t="inlineStr">
        <is>
          <t>Art 5.4: puede impugnar ante tribunales disposiciones de rango inferior a ley que obstaculicen competencia. Recurso no equivale a anulación o suspensión automática; no veto a leyes parlamentarias.</t>
        </is>
      </c>
      <c r="BG25" s="10" t="inlineStr">
        <is>
          <t>Ley 3/2013 arts 5.2(a),5.4</t>
        </is>
      </c>
      <c r="BH25" s="10" t="inlineStr">
        <is>
          <t>https://www.boe.es/diario_boe/txt.php?id=BOE-A-2013-5940</t>
        </is>
      </c>
      <c r="BI25" s="12" t="n">
        <v>29.507</v>
      </c>
      <c r="BJ25" s="12" t="n">
        <v>43.294</v>
      </c>
      <c r="BK25" s="12" t="n">
        <v>26.31</v>
      </c>
      <c r="BL25" s="12" t="n"/>
      <c r="BM25" s="10" t="n"/>
      <c r="BN25" s="10" t="inlineStr">
        <is>
          <t>IGAE: columnas 2026 crédito / obligaciones / pagos;2025 crédito y obligaciones al mismo 31/08. No comparar 8 meses con año completo. Capítulo 1 no equivale solo a sueldos. PlantillaRPT del lote no incorporada sin verificación adicional.</t>
        </is>
      </c>
      <c r="BO25" s="12" t="n">
        <v>43.294</v>
      </c>
      <c r="BP25" s="12" t="n">
        <v>42.084</v>
      </c>
      <c r="BQ25" s="12" t="n">
        <v>42.084</v>
      </c>
      <c r="BR25" s="12" t="inlineStr">
        <is>
          <t>2025: hasta31/12/2025, año completo</t>
        </is>
      </c>
      <c r="BS25" s="12" t="inlineStr">
        <is>
          <t>Capítulo1: gastos de personal; obligaciones reconocidas, no solo salarios</t>
        </is>
      </c>
      <c r="BT25" s="12" t="inlineStr">
        <is>
          <t>https://www.igae.pap.hacienda.gob.es/sitios/igae/es-ES/Contabilidad/ContabilidadPublica/CPE/EjecucionPresupuestaria/Documents/ORGANISMOS%2012.%202025.pdf</t>
        </is>
      </c>
      <c r="BU25" s="12" t="inlineStr">
        <is>
          <t>Fuente primaria cotejada: IGAE edición12.2025, tabla y unidad milesEUR. No confundir con comparativa2025 de edición08.2026.</t>
        </is>
      </c>
      <c r="BV25" s="27" t="inlineStr">
        <is>
          <t>Útil</t>
        </is>
      </c>
      <c r="BW25" s="27" t="inlineStr">
        <is>
          <t>Mantener</t>
        </is>
      </c>
      <c r="BX25" s="27" t="inlineStr">
        <is>
          <t>Regulación o inspección de terceros</t>
        </is>
      </c>
      <c r="BY25" s="27" t="inlineStr">
        <is>
          <t>Organismo estatal de referencia. 9 comunidades tienen el suyo propio; 10 organismos sobre este tema entre el Estado y las CCAA (verificados).</t>
        </is>
      </c>
      <c r="BZ25" s="27" t="inlineStr">
        <is>
          <t>Sí: las directivas de energía y comunicaciones exigen un regulador nacional independiente</t>
        </is>
      </c>
      <c r="CA25" s="27" t="inlineStr">
        <is>
          <t>Acreditada</t>
        </is>
      </c>
      <c r="CB25" s="27" t="inlineStr">
        <is>
          <t>Regula mercados y sanciona conductas contra la competencia; el P100 conserva su informe obligatorio. Exigida por la UE.</t>
        </is>
      </c>
      <c r="CC25" s="27" t="inlineStr">
        <is>
          <t>Explícito en el P100: Costes del Estado 9; Organización del Estado 11</t>
        </is>
      </c>
      <c r="CD25" s="12" t="n"/>
      <c r="CE25" s="27" t="inlineStr">
        <is>
          <t>Autoridades de defensa de la competencia</t>
        </is>
      </c>
      <c r="CF25" s="28" t="n">
        <v>10</v>
      </c>
      <c r="CG25" s="12" t="n"/>
      <c r="CH25" s="29">
        <f>IF(AND(ISNUMBER(BP25),ISNUMBER(AG25),AG25&gt;0),BP25*1000000/AG25,"")</f>
        <v/>
      </c>
      <c r="CI25" s="12" t="n"/>
      <c r="CJ25" s="12" t="n"/>
      <c r="CK25" s="12" t="n"/>
      <c r="CL25" s="12" t="n"/>
      <c r="CM25" s="12" t="n"/>
      <c r="CN25" s="12" t="n"/>
      <c r="CO25" s="12" t="n"/>
      <c r="CP25" s="12" t="n"/>
      <c r="CQ25" s="12" t="n"/>
      <c r="CR25" s="12" t="n"/>
      <c r="CS25" s="12" t="n"/>
    </row>
    <row r="26">
      <c r="A26" s="10" t="n">
        <v>25</v>
      </c>
      <c r="B26" s="10" t="inlineStr">
        <is>
          <t>Estatal</t>
        </is>
      </c>
      <c r="C26" s="10" t="inlineStr">
        <is>
          <t>Estado</t>
        </is>
      </c>
      <c r="D26" s="10" t="inlineStr">
        <is>
          <t>Zapatero</t>
        </is>
      </c>
      <c r="E26" s="10" t="inlineStr">
        <is>
          <t>Comisión Nacional de la Competencia (CNC)</t>
        </is>
      </c>
      <c r="F26" s="10" t="inlineStr">
        <is>
          <t>Fusión de Tribunal y Servicio de Defensa de la Competencia</t>
        </is>
      </c>
      <c r="G26" s="10" t="inlineStr">
        <is>
          <t>2007-07-03</t>
        </is>
      </c>
      <c r="H26" s="10" t="inlineStr">
        <is>
          <t>Ley 15/2007</t>
        </is>
      </c>
      <c r="I26" s="10" t="inlineStr">
        <is>
          <t>Aplicar derecho de competencia, sancionar conductas y controlar concentraciones.</t>
        </is>
      </c>
      <c r="J26" s="10" t="inlineStr">
        <is>
          <t>Juicio: poder ejecutivo/regulador real mientras existió.</t>
        </is>
      </c>
      <c r="K26" s="11" t="n"/>
      <c r="L26" s="10" t="n"/>
      <c r="M26" s="10" t="n"/>
      <c r="N26" s="10" t="n"/>
      <c r="O26" s="10" t="inlineStr">
        <is>
          <t>Sin presupuesto propio actual: supresión/extinción; no cuantificar sustituto</t>
        </is>
      </c>
      <c r="P26" s="12" t="n"/>
      <c r="Q26" s="12" t="n"/>
      <c r="R26" s="10" t="inlineStr">
        <is>
          <t>Sin presupuesto actual propio; extinguida e integrada en CNMC. No atribuir a la antigua CNC todo presupuesto CNMC.</t>
        </is>
      </c>
      <c r="S26" s="10" t="inlineStr">
        <is>
          <t>31/08/2026, salvo indicación distinta</t>
        </is>
      </c>
      <c r="T26" s="10" t="inlineStr">
        <is>
          <t>Extinción prevista Ley 3/2013, ligada a puesta en funcionamiento de CNMC en 2013.</t>
        </is>
      </c>
      <c r="U26" s="10" t="inlineStr">
        <is>
          <t>Fecha exacta de comienzo operativo de CNMC no cerrada en este lote.</t>
        </is>
      </c>
      <c r="V26" s="10" t="inlineStr">
        <is>
          <t>Integración legal</t>
        </is>
      </c>
      <c r="W26" s="10" t="inlineStr">
        <is>
          <t>24, 26</t>
        </is>
      </c>
      <c r="X26" s="10" t="inlineStr">
        <is>
          <t>CNC y Comisión del Sector Postal se integraron en CNMC por Ley 3/2013; no son organismos actuales paralelos. No sumar un presupuesto sucesor a los antiguos.</t>
        </is>
      </c>
      <c r="Y26"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https://www.boe.es/eli/es/l/2007/07/03/15
https://www.boe.es/eli/es/l/2007/10/08/23/con</t>
        </is>
      </c>
      <c r="Z26" s="10" t="inlineStr">
        <is>
          <t>https://www.boe.es/eli/es/l/2007/07/03/15
https://www.boe.es/diario_boe/txt.php?id=BOE-A-2013-5940</t>
        </is>
      </c>
      <c r="AA26" s="12" t="n"/>
      <c r="AB26" s="10" t="n"/>
      <c r="AC26" s="10" t="n"/>
      <c r="AD26" s="10" t="n"/>
      <c r="AE26" s="13" t="inlineStr">
        <is>
          <t>https://files.instinct.com/q91pr53q4umo-entidades-publicas-poder-y-presupuesto</t>
        </is>
      </c>
      <c r="AF26" s="10" t="inlineStr">
        <is>
          <t>12/10/2026</t>
        </is>
      </c>
      <c r="AG26" s="10" t="n"/>
      <c r="AH26" s="10" t="n"/>
      <c r="AI26" s="10" t="inlineStr">
        <is>
          <t>Personas realmente ocupadas; no equiparar vocales, puestos RPT o apoyo ministerial con plantilla</t>
        </is>
      </c>
      <c r="AJ26" s="10" t="inlineStr">
        <is>
          <t>Pendiente: sin cifra de personal ocupado verificada en el conjunto actual</t>
        </is>
      </c>
      <c r="AK26" s="10" t="n"/>
      <c r="AL26" s="12" t="n"/>
      <c r="AM26" s="10" t="n"/>
      <c r="AN26" s="10" t="n"/>
      <c r="AO26" s="10" t="inlineStr">
        <is>
          <t>Pendiente: sin coste de personal individual verificado en el conjunto actual</t>
        </is>
      </c>
      <c r="AP26" s="10" t="n"/>
      <c r="AQ26" s="12" t="n"/>
      <c r="AR26" s="10" t="n"/>
      <c r="AS26" s="10" t="n"/>
      <c r="AT26" s="10" t="n"/>
      <c r="AU26" s="10" t="n"/>
      <c r="AV26" s="10" t="inlineStr">
        <is>
          <t>Pendiente: no se ha verificado gasto salarial ejecutado individual en esta versión</t>
        </is>
      </c>
      <c r="AW26" s="10" t="inlineStr">
        <is>
          <t>SIN CIFRA INDIVIDUAL VERIFICADA de presupuesto, personal ocupado y salarios ejecutados; investigación pendiente, no prueba de falta de publicación</t>
        </is>
      </c>
      <c r="AX26" s="14" t="n"/>
      <c r="AY26" s="14" t="n"/>
      <c r="AZ26" s="14" t="n"/>
      <c r="BA26" s="14" t="n"/>
      <c r="BB26" s="14" t="n"/>
      <c r="BC26" s="10" t="inlineStr">
        <is>
          <t>Revisado: papel histórico CNC, hoy integrada en CNMC</t>
        </is>
      </c>
      <c r="BD26" s="10" t="inlineStr">
        <is>
          <t>Ley15/2007 original art25: en todo caso dictamina proyectos/proposiciones que afecten competencia y reglamentos de desarrollo.</t>
        </is>
      </c>
      <c r="BE26" s="10" t="inlineStr">
        <is>
          <t>No se exige consentimiento favorable ni carácter vinculante del informe en la cláusula citada; no es veto.</t>
        </is>
      </c>
      <c r="BF26" s="10" t="inlineStr">
        <is>
          <t>Histórico, no facultad actual de CNC. Art12.3 permite impugnar disposiciones inferiores a ley; no anula ni suspende por sí sola.</t>
        </is>
      </c>
      <c r="BG26" s="10" t="inlineStr">
        <is>
          <t>Ley15/2007 original arts25a,12.3</t>
        </is>
      </c>
      <c r="BH26" s="10" t="inlineStr">
        <is>
          <t>https://www.boe.es/diario_boe/txt.php?id=BOE-A-2007-12946</t>
        </is>
      </c>
      <c r="BI26" s="12" t="n"/>
      <c r="BJ26" s="12" t="n"/>
      <c r="BK26" s="12" t="n"/>
      <c r="BL26" s="12" t="n"/>
      <c r="BM26" s="10" t="n"/>
      <c r="BN26" s="10" t="n"/>
      <c r="BO26" s="12" t="n"/>
      <c r="BP26" s="12" t="n"/>
      <c r="BQ26" s="12" t="n"/>
      <c r="BR26" s="12" t="n"/>
      <c r="BS26" s="12" t="n"/>
      <c r="BT26" s="12" t="n"/>
      <c r="BU26" s="12" t="n"/>
      <c r="BV26" s="27" t="inlineStr">
        <is>
          <t>Extinguida</t>
        </is>
      </c>
      <c r="BW26" s="27" t="inlineStr">
        <is>
          <t>Extinguida</t>
        </is>
      </c>
      <c r="BX26" s="27" t="inlineStr">
        <is>
          <t>Extinguida o no constituida</t>
        </is>
      </c>
      <c r="BY26" s="27" t="inlineStr">
        <is>
          <t>10 organismos sobre este tema entre el Estado y las CCAA (verificados)</t>
        </is>
      </c>
      <c r="BZ26" s="27" t="inlineStr">
        <is>
          <t>No</t>
        </is>
      </c>
      <c r="CA26" s="27" t="inlineStr">
        <is>
          <t>No aplica (no vigente)</t>
        </is>
      </c>
      <c r="CB26" s="27" t="inlineStr">
        <is>
          <t>Extinguida en 2013 al integrarse en la CNMC.</t>
        </is>
      </c>
      <c r="CC26" s="12" t="n"/>
      <c r="CD26" s="12" t="n"/>
      <c r="CE26" s="27" t="inlineStr">
        <is>
          <t>Autoridades de defensa de la competencia</t>
        </is>
      </c>
      <c r="CF26" s="28" t="n">
        <v>10</v>
      </c>
      <c r="CG26" s="12" t="n"/>
      <c r="CH26" s="29">
        <f>IF(AND(ISNUMBER(BP26),ISNUMBER(AG26),AG26&gt;0),BP26*1000000/AG26,"")</f>
        <v/>
      </c>
      <c r="CI26" s="12" t="n"/>
      <c r="CJ26" s="12" t="n"/>
      <c r="CK26" s="12" t="n"/>
      <c r="CL26" s="12" t="n"/>
      <c r="CM26" s="12" t="n"/>
      <c r="CN26" s="12" t="n"/>
      <c r="CO26" s="12" t="n"/>
      <c r="CP26" s="12" t="n"/>
      <c r="CQ26" s="12" t="n"/>
      <c r="CR26" s="12" t="n"/>
      <c r="CS26" s="12" t="n"/>
    </row>
    <row r="27">
      <c r="A27" s="10" t="n">
        <v>26</v>
      </c>
      <c r="B27" s="10" t="inlineStr">
        <is>
          <t>Estatal</t>
        </is>
      </c>
      <c r="C27" s="10" t="inlineStr">
        <is>
          <t>Estado</t>
        </is>
      </c>
      <c r="D27" s="10" t="inlineStr">
        <is>
          <t>Zapatero</t>
        </is>
      </c>
      <c r="E27" s="10" t="inlineStr">
        <is>
          <t>Comisión Nacional del Sector Postal</t>
        </is>
      </c>
      <c r="F27" s="10" t="inlineStr">
        <is>
          <t>Nueva autoridad sectorial</t>
        </is>
      </c>
      <c r="G27" s="10" t="inlineStr">
        <is>
          <t>2007-10-08</t>
        </is>
      </c>
      <c r="H27" s="10" t="inlineStr">
        <is>
          <t>Ley 23/2007</t>
        </is>
      </c>
      <c r="I27" s="10" t="inlineStr">
        <is>
          <t>Supervisar mercado postal, resolver conflictos, inspeccionar y sancionar.</t>
        </is>
      </c>
      <c r="J27" s="10" t="inlineStr">
        <is>
          <t>Juicio: competencias vinculantes reales mientras existió.</t>
        </is>
      </c>
      <c r="K27" s="11" t="n"/>
      <c r="L27" s="10" t="n"/>
      <c r="M27" s="10" t="n"/>
      <c r="N27" s="10" t="n"/>
      <c r="O27" s="10" t="inlineStr">
        <is>
          <t>Sin presupuesto propio actual: supresión/extinción; no cuantificar sustituto</t>
        </is>
      </c>
      <c r="P27" s="12" t="n"/>
      <c r="Q27" s="12" t="n"/>
      <c r="R27" s="10" t="inlineStr">
        <is>
          <t>Sin presupuesto propio actual por integración en CNMC.</t>
        </is>
      </c>
      <c r="S27" s="10" t="inlineStr">
        <is>
          <t>31/08/2026, salvo indicación distinta</t>
        </is>
      </c>
      <c r="T27" s="10" t="inlineStr">
        <is>
          <t>Extinguida por reordenación Ley 3/2013.</t>
        </is>
      </c>
      <c r="U27" s="10" t="inlineStr">
        <is>
          <t>Debe comprobarse fecha de supresión efectiva ligada a CNMC antes de fijar día exacto.</t>
        </is>
      </c>
      <c r="V27" s="10" t="inlineStr">
        <is>
          <t>Integración legal</t>
        </is>
      </c>
      <c r="W27" s="10" t="inlineStr">
        <is>
          <t>24, 25</t>
        </is>
      </c>
      <c r="X27" s="10" t="inlineStr">
        <is>
          <t>CNC y Comisión del Sector Postal se integraron en CNMC por Ley 3/2013; no son organismos actuales paralelos. No sumar un presupuesto sucesor a los antiguos.</t>
        </is>
      </c>
      <c r="Y27"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https://www.boe.es/eli/es/l/2007/07/03/15
https://www.boe.es/eli/es/l/2007/10/08/23/con</t>
        </is>
      </c>
      <c r="Z27" s="10" t="inlineStr">
        <is>
          <t>https://www.boe.es/eli/es/l/2007/10/08/23/con
https://www.boe.es/diario_boe/txt.php?id=BOE-A-2013-5940</t>
        </is>
      </c>
      <c r="AA27" s="12" t="n"/>
      <c r="AB27" s="10" t="n"/>
      <c r="AC27" s="10" t="n"/>
      <c r="AD27" s="10" t="n"/>
      <c r="AE27" s="13" t="inlineStr">
        <is>
          <t>https://files.instinct.com/q91pr53q4umo-entidades-publicas-poder-y-presupuesto</t>
        </is>
      </c>
      <c r="AF27" s="10" t="inlineStr">
        <is>
          <t>12/10/2026</t>
        </is>
      </c>
      <c r="AG27" s="10" t="n"/>
      <c r="AH27" s="10" t="n"/>
      <c r="AI27" s="10" t="inlineStr">
        <is>
          <t>Personas realmente ocupadas; no equiparar vocales, puestos RPT o apoyo ministerial con plantilla</t>
        </is>
      </c>
      <c r="AJ27" s="10" t="inlineStr">
        <is>
          <t>Pendiente: sin cifra de personal ocupado verificada en el conjunto actual</t>
        </is>
      </c>
      <c r="AK27" s="10" t="n"/>
      <c r="AL27" s="12" t="n"/>
      <c r="AM27" s="10" t="n"/>
      <c r="AN27" s="10" t="n"/>
      <c r="AO27" s="10" t="inlineStr">
        <is>
          <t>Pendiente: sin coste de personal individual verificado en el conjunto actual</t>
        </is>
      </c>
      <c r="AP27" s="10" t="n"/>
      <c r="AQ27" s="12" t="n"/>
      <c r="AR27" s="10" t="n"/>
      <c r="AS27" s="10" t="n"/>
      <c r="AT27" s="10" t="n"/>
      <c r="AU27" s="10" t="n"/>
      <c r="AV27" s="10" t="inlineStr">
        <is>
          <t>Pendiente: no se ha verificado gasto salarial ejecutado individual en esta versión</t>
        </is>
      </c>
      <c r="AW27" s="10" t="inlineStr">
        <is>
          <t>SIN CIFRA INDIVIDUAL VERIFICADA de presupuesto, personal ocupado y salarios ejecutados; investigación pendiente, no prueba de falta de publicación</t>
        </is>
      </c>
      <c r="AX27" s="14" t="n"/>
      <c r="AY27" s="14" t="n"/>
      <c r="AZ27" s="14" t="n"/>
      <c r="BA27" s="14" t="n"/>
      <c r="BB27" s="14" t="n"/>
      <c r="BC27" s="10" t="inlineStr">
        <is>
          <t>Revisado: órgano consultivo histórico postal</t>
        </is>
      </c>
      <c r="BD27" s="10" t="inlineStr">
        <is>
          <t>Art7.1m: informes solicitados por Fomento; no informe previo general obligatorio sobre leyes identificado.</t>
        </is>
      </c>
      <c r="BE27" s="10" t="inlineStr">
        <is>
          <t>No se exige consentimiento favorable ni carácter vinculante del informe en la cláusula citada; no es veto.</t>
        </is>
      </c>
      <c r="BF27" s="10" t="inlineStr">
        <is>
          <t>Sus instrucciones a operadores vinculantes (art17) son distintas de consentimiento para aprobar leyes. Extinta/integrada.</t>
        </is>
      </c>
      <c r="BG27" s="10" t="inlineStr">
        <is>
          <t>Ley23/2007 arts7.1m,17</t>
        </is>
      </c>
      <c r="BH27" s="10" t="inlineStr">
        <is>
          <t>https://www.boe.es/eli/es/l/2007/10/08/23</t>
        </is>
      </c>
      <c r="BI27" s="12" t="n"/>
      <c r="BJ27" s="12" t="n"/>
      <c r="BK27" s="12" t="n"/>
      <c r="BL27" s="12" t="n"/>
      <c r="BM27" s="10" t="n"/>
      <c r="BN27" s="10" t="n"/>
      <c r="BO27" s="12" t="n"/>
      <c r="BP27" s="12" t="n"/>
      <c r="BQ27" s="12" t="n"/>
      <c r="BR27" s="12" t="n"/>
      <c r="BS27" s="12" t="n"/>
      <c r="BT27" s="12" t="n"/>
      <c r="BU27" s="12" t="n"/>
      <c r="BV27" s="27" t="inlineStr">
        <is>
          <t>Extinguida</t>
        </is>
      </c>
      <c r="BW27" s="27" t="inlineStr">
        <is>
          <t>Extinguida</t>
        </is>
      </c>
      <c r="BX27" s="27" t="inlineStr">
        <is>
          <t>Extinguida o no constituida</t>
        </is>
      </c>
      <c r="BY27" s="12" t="n"/>
      <c r="BZ27" s="27" t="inlineStr">
        <is>
          <t>No</t>
        </is>
      </c>
      <c r="CA27" s="27" t="inlineStr">
        <is>
          <t>No aplica (no vigente)</t>
        </is>
      </c>
      <c r="CB27" s="27" t="inlineStr">
        <is>
          <t>Extinguida en 2013 al integrarse en la CNMC.</t>
        </is>
      </c>
      <c r="CC27" s="12" t="n"/>
      <c r="CD27" s="12" t="n"/>
      <c r="CE27" s="27" t="inlineStr">
        <is>
          <t>Sector postal</t>
        </is>
      </c>
      <c r="CF27" s="12" t="n"/>
      <c r="CG27" s="12" t="n"/>
      <c r="CH27" s="29">
        <f>IF(AND(ISNUMBER(BP27),ISNUMBER(AG27),AG27&gt;0),BP27*1000000/AG27,"")</f>
        <v/>
      </c>
      <c r="CI27" s="12" t="n"/>
      <c r="CJ27" s="12" t="n"/>
      <c r="CK27" s="12" t="n"/>
      <c r="CL27" s="12" t="n"/>
      <c r="CM27" s="12" t="n"/>
      <c r="CN27" s="12" t="n"/>
      <c r="CO27" s="12" t="n"/>
      <c r="CP27" s="12" t="n"/>
      <c r="CQ27" s="12" t="n"/>
      <c r="CR27" s="12" t="n"/>
      <c r="CS27" s="12" t="n"/>
    </row>
    <row r="28">
      <c r="A28" s="10" t="n">
        <v>27</v>
      </c>
      <c r="B28" s="10" t="inlineStr">
        <is>
          <t>Estatal</t>
        </is>
      </c>
      <c r="C28" s="10" t="inlineStr">
        <is>
          <t>Estado</t>
        </is>
      </c>
      <c r="D28" s="10" t="inlineStr">
        <is>
          <t>Rajoy</t>
        </is>
      </c>
      <c r="E28" s="10" t="inlineStr">
        <is>
          <t>Agencia Española de Consumo, Seguridad Alimentaria y Nutrición (AECOSAN)</t>
        </is>
      </c>
      <c r="F28" s="10" t="inlineStr">
        <is>
          <t>Fusión de INC y AESAN, no creación inicial de seguridad alimentaria</t>
        </is>
      </c>
      <c r="G28" s="10" t="inlineStr">
        <is>
          <t>2014-01-17</t>
        </is>
      </c>
      <c r="H28" s="10" t="inlineStr">
        <is>
          <t>RD 19/2014</t>
        </is>
      </c>
      <c r="I28" s="10" t="inlineStr">
        <is>
          <t>Coordinación y evaluación de seguridad alimentaria, nutrición y consumo.</t>
        </is>
      </c>
      <c r="J28" s="10" t="inlineStr">
        <is>
          <t>Juicio: función ejecutiva/técnica real, no entidad nacida desde cero.</t>
        </is>
      </c>
      <c r="K28" s="11" t="n"/>
      <c r="L28" s="10" t="n"/>
      <c r="M28" s="10" t="n"/>
      <c r="N28" s="10" t="n"/>
      <c r="O28" s="10" t="inlineStr">
        <is>
          <t>Denominación sustituida; importe sucesor fuera del total propio</t>
        </is>
      </c>
      <c r="P28" s="12" t="n"/>
      <c r="Q28" s="12" t="n"/>
      <c r="R28" s="10" t="inlineStr">
        <is>
          <t>No hay presupuesto actual con esta denominación. AESAN sucesora: inicial 19,544 M; modificación +0,827 M; total 20,371 M (IGAE p.44). Ese total no cubre funciones de consumo escindidas.</t>
        </is>
      </c>
      <c r="S28" s="10" t="inlineStr">
        <is>
          <t>31/08/2026, salvo indicación distinta</t>
        </is>
      </c>
      <c r="T28" s="10" t="inlineStr">
        <is>
          <t>Refundición 2014; separación y retorno de AESAN posteriormente.</t>
        </is>
      </c>
      <c r="U28" s="10" t="inlineStr">
        <is>
          <t>La fecha y norma exacta de separación posterior debe completarse antes de darla por extinguida en un día preciso.</t>
        </is>
      </c>
      <c r="V28" s="10" t="inlineStr">
        <is>
          <t>No se ha identificado relación en esta revisión (no certifica ausencia)</t>
        </is>
      </c>
      <c r="W28" s="10" t="n"/>
      <c r="X28" s="10" t="inlineStr">
        <is>
          <t>Revisión cualitativa del mandato y estado de las 95 fichas; no auditoría exhaustiva de funciones ni proyectos.</t>
        </is>
      </c>
      <c r="Y28" s="10" t="n"/>
      <c r="Z28" s="10" t="inlineStr">
        <is>
          <t>https://www.boe.es/eli/es/rd/2014/01/17/19/con
https://www.igae.pap.hacienda.gob.es/sitios/igae/es-ES/Contabilidad/ContabilidadPublica/CPE/EjecucionPresupuestaria/Documents/ORGANISMOS%2008.%202026.pdf</t>
        </is>
      </c>
      <c r="AA28" s="12" t="n">
        <v>20.371</v>
      </c>
      <c r="AB28" s="10" t="inlineStr">
        <is>
          <t>2026</t>
        </is>
      </c>
      <c r="AC28" s="10" t="inlineStr">
        <is>
          <t>Crédito de AESAN sucesora, no de AECOSAN</t>
        </is>
      </c>
      <c r="AD28" s="10" t="inlineStr">
        <is>
          <t>AESAN</t>
        </is>
      </c>
      <c r="AE28" s="13" t="inlineStr">
        <is>
          <t>https://files.instinct.com/q91pr53q4umo-entidades-publicas-poder-y-presupuesto</t>
        </is>
      </c>
      <c r="AF28" s="10" t="inlineStr">
        <is>
          <t>12/10/2026</t>
        </is>
      </c>
      <c r="AG28" s="10" t="n"/>
      <c r="AH28" s="10" t="n"/>
      <c r="AI28" s="10" t="inlineStr">
        <is>
          <t>Personas realmente ocupadas; no equiparar vocales, puestos RPT o apoyo ministerial con plantilla</t>
        </is>
      </c>
      <c r="AJ28" s="10" t="inlineStr">
        <is>
          <t>Pendiente: sin cifra de personal ocupado verificada en el conjunto actual</t>
        </is>
      </c>
      <c r="AK28" s="10" t="n"/>
      <c r="AL28" s="12" t="n"/>
      <c r="AM28" s="10" t="n"/>
      <c r="AN28" s="10" t="n"/>
      <c r="AO28" s="10" t="inlineStr">
        <is>
          <t>Pendiente: sin coste de personal individual verificado en el conjunto actual</t>
        </is>
      </c>
      <c r="AP28" s="10" t="n"/>
      <c r="AQ28" s="12" t="n"/>
      <c r="AR28" s="10" t="n"/>
      <c r="AS28" s="10" t="n"/>
      <c r="AT28" s="10" t="n"/>
      <c r="AU28" s="10" t="n"/>
      <c r="AV28" s="10" t="inlineStr">
        <is>
          <t>Pendiente: no se ha verificado gasto salarial ejecutado individual en esta versión</t>
        </is>
      </c>
      <c r="AW28" s="10" t="inlineStr">
        <is>
          <t>SIN CIFRA INDIVIDUAL IDENTIFICADA de presupuesto, personal ocupado y salarios ejecutados en fuentes revisadas. No significa cero ni prueba de que nada esté publicado.</t>
        </is>
      </c>
      <c r="AX28" s="14" t="n"/>
      <c r="AY28" s="14" t="n"/>
      <c r="AZ28" s="14" t="n"/>
      <c r="BA28" s="14" t="n"/>
      <c r="BB28" s="14" t="n"/>
      <c r="BC28" s="10" t="inlineStr">
        <is>
          <t>Revisado: AECOSAN histórica, sustitución posterior</t>
        </is>
      </c>
      <c r="BD28" s="10" t="inlineStr">
        <is>
          <t>Sí: proyectos de normas que afecten servicios/productos no alimenticios (art4e original). Consejo consultivo: programa de actividades (art23), no todas las leyes.</t>
        </is>
      </c>
      <c r="BE28" s="10" t="inlineStr">
        <is>
          <t>No se exige consentimiento favorable ni carácter vinculante del informe en la cláusula citada; no es veto.</t>
        </is>
      </c>
      <c r="BF28" s="10" t="inlineStr">
        <is>
          <t>Función histórica: no atribuirla como órgano actual independiente ni confundir sucesoraAESAN.</t>
        </is>
      </c>
      <c r="BG28" s="10" t="inlineStr">
        <is>
          <t>RD19/2014 arts4e,23</t>
        </is>
      </c>
      <c r="BH28" s="10" t="inlineStr">
        <is>
          <t>https://www.boe.es/eli/es/rd/2014/01/17/19/con</t>
        </is>
      </c>
      <c r="BI28" s="12" t="n"/>
      <c r="BJ28" s="12" t="n"/>
      <c r="BK28" s="12" t="n"/>
      <c r="BL28" s="12" t="n"/>
      <c r="BM28" s="10" t="n"/>
      <c r="BN28" s="10" t="inlineStr">
        <is>
          <t>AESAN sucesora: crédito 10,990M, obligaciones 7,085M y pagos 7,085M hasta 31/08/2026. NO se atribuye como gasto propio actual a AECOSAN sustituida. Fuente IGAE p 53.</t>
        </is>
      </c>
      <c r="BO28" s="12" t="n"/>
      <c r="BP28" s="12" t="n"/>
      <c r="BQ28" s="12" t="n"/>
      <c r="BR28" s="12" t="n"/>
      <c r="BS28" s="12" t="n"/>
      <c r="BT28" s="12" t="n"/>
      <c r="BU28" s="12" t="inlineStr">
        <is>
          <t>AESAN sucesora: gasto personal anual2025 10,860M; pagos10,860M. NO gasto propio de AECOSAN sustituida. https://www.igae.pap.hacienda.gob.es/sitios/igae/es-ES/Contabilidad/ContabilidadPublica/CPE/EjecucionPresupuestaria/Documents/ORGANISMOS%2012.%202025.pdf</t>
        </is>
      </c>
      <c r="BV28" s="27" t="inlineStr">
        <is>
          <t>Extinguida</t>
        </is>
      </c>
      <c r="BW28" s="27" t="inlineStr">
        <is>
          <t>Extinguida</t>
        </is>
      </c>
      <c r="BX28" s="27" t="inlineStr">
        <is>
          <t>Extinguida o no constituida</t>
        </is>
      </c>
      <c r="BY28" s="12" t="n"/>
      <c r="BZ28" s="27" t="inlineStr">
        <is>
          <t>No</t>
        </is>
      </c>
      <c r="CA28" s="27" t="inlineStr">
        <is>
          <t>No aplica (no vigente)</t>
        </is>
      </c>
      <c r="CB28" s="27" t="inlineStr">
        <is>
          <t>Denominación sustituida: la función continúa en AESAN, que no se cuenta aquí.</t>
        </is>
      </c>
      <c r="CC28" s="12" t="n"/>
      <c r="CD28" s="12" t="n"/>
      <c r="CE28" s="27" t="inlineStr">
        <is>
          <t>Seguridad alimentaria y consumo</t>
        </is>
      </c>
      <c r="CF28" s="12" t="n"/>
      <c r="CG28" s="12" t="n"/>
      <c r="CH28" s="29">
        <f>IF(AND(ISNUMBER(BP28),ISNUMBER(AG28),AG28&gt;0),BP28*1000000/AG28,"")</f>
        <v/>
      </c>
      <c r="CI28" s="12" t="n"/>
      <c r="CJ28" s="12" t="n"/>
      <c r="CK28" s="12" t="n"/>
      <c r="CL28" s="12" t="n"/>
      <c r="CM28" s="12" t="n"/>
      <c r="CN28" s="12" t="n"/>
      <c r="CO28" s="12" t="n"/>
      <c r="CP28" s="12" t="n"/>
      <c r="CQ28" s="12" t="n"/>
      <c r="CR28" s="12" t="n"/>
      <c r="CS28" s="12" t="n"/>
    </row>
    <row r="29">
      <c r="A29" s="10" t="n">
        <v>28</v>
      </c>
      <c r="B29" s="10" t="inlineStr">
        <is>
          <t>Estatal</t>
        </is>
      </c>
      <c r="C29" s="10" t="inlineStr">
        <is>
          <t>Estado</t>
        </is>
      </c>
      <c r="D29" s="10" t="inlineStr">
        <is>
          <t>Rajoy</t>
        </is>
      </c>
      <c r="E29" s="10" t="inlineStr">
        <is>
          <t>Agencia de Información y Control Alimentarios (AICA)</t>
        </is>
      </c>
      <c r="F29" s="10" t="inlineStr">
        <is>
          <t>Renombramiento y ampliación de Agencia para el Aceite de Oliva</t>
        </is>
      </c>
      <c r="G29" s="10" t="inlineStr">
        <is>
          <t>2013-08-02</t>
        </is>
      </c>
      <c r="H29" s="10" t="inlineStr">
        <is>
          <t>Ley 12/2013 DA 1; RD 227/2014</t>
        </is>
      </c>
      <c r="I29" s="10" t="inlineStr">
        <is>
          <t>Controlar cadena alimentaria y cumplimiento de contratos, inspecciones y procedimientos sancionadores según régimen vigente.</t>
        </is>
      </c>
      <c r="J29" s="10" t="inlineStr">
        <is>
          <t>Juicio: poder de control real. No contar como nueva entidad independiente del antecedente.</t>
        </is>
      </c>
      <c r="K29" s="11" t="n">
        <v>9.654999999999999</v>
      </c>
      <c r="L29" s="10" t="n">
        <v>2026</v>
      </c>
      <c r="M29" s="10" t="inlineStr">
        <is>
          <t>Crédito total actualizado</t>
        </is>
      </c>
      <c r="N29" s="10" t="inlineStr">
        <is>
          <t>31/08/2026</t>
        </is>
      </c>
      <c r="O29" s="10" t="inlineStr">
        <is>
          <t>Cifra propia verificada</t>
        </is>
      </c>
      <c r="P29" s="12" t="n">
        <v>9.305</v>
      </c>
      <c r="Q29" s="12" t="n">
        <v>0.35</v>
      </c>
      <c r="R29" s="10" t="inlineStr">
        <is>
          <t>Presupuesto propio, crédito inicial 2026 9,305 M EUR; modificaciones netas +0,350 M; crédito total 9,655 M al 31/08/2026. IGAE p.43, cifras publicadas en miles de euros, no gasto ejecutado ni dotación solo administrativa.</t>
        </is>
      </c>
      <c r="S29" s="10" t="inlineStr">
        <is>
          <t>31/08/2026, salvo indicación distinta</t>
        </is>
      </c>
      <c r="T29" s="10" t="inlineStr">
        <is>
          <t>Vigente; estado operativo no exhaustivamente auditado</t>
        </is>
      </c>
      <c r="U29" s="10" t="inlineStr">
        <is>
          <t>No se ha verificado el número actual de puestos ocupados ni la independencia práctica de su dirección.</t>
        </is>
      </c>
      <c r="V29" s="10" t="inlineStr">
        <is>
          <t>Ámbito compartido; funciones distintas</t>
        </is>
      </c>
      <c r="W29" s="10" t="inlineStr">
        <is>
          <t>29</t>
        </is>
      </c>
      <c r="X29" s="10" t="inlineStr">
        <is>
          <t>Cadena alimentaria: AICA controla e inspecciona; el Observatorio estudia precios/costes y recomienda.</t>
        </is>
      </c>
      <c r="Y29" s="10" t="inlineStr">
        <is>
          <t>https://www.boe.es/diario_boe/txt.php?id=BOE-A-2013-8554
https://www.igae.pap.hacienda.gob.es/sitios/igae/es-ES/Contabilidad/ContabilidadPublica/CPE/EjecucionPresupuestaria/Documents/ORGANISMOS%2008.%202026.pdf
https://www.mapa.gob.es/es/alimentacion/temas/observatorio-cadena/funcion-estructura-normativa</t>
        </is>
      </c>
      <c r="Z29" s="10" t="inlineStr">
        <is>
          <t>https://www.boe.es/diario_boe/txt.php?id=BOE-A-2013-8554
https://www.igae.pap.hacienda.gob.es/sitios/igae/es-ES/Contabilidad/ContabilidadPublica/CPE/EjecucionPresupuestaria/Documents/ORGANISMOS%2008.%202026.pdf</t>
        </is>
      </c>
      <c r="AA29" s="12" t="n"/>
      <c r="AB29" s="10" t="n"/>
      <c r="AC29" s="10" t="n"/>
      <c r="AD29" s="10" t="n"/>
      <c r="AE29" s="13" t="inlineStr">
        <is>
          <t>https://files.instinct.com/q91pr53q4umo-entidades-publicas-poder-y-presupuesto</t>
        </is>
      </c>
      <c r="AF29" s="10" t="inlineStr">
        <is>
          <t>12/10/2026</t>
        </is>
      </c>
      <c r="AG29" s="10" t="n"/>
      <c r="AH29" s="10" t="n"/>
      <c r="AI29" s="10" t="inlineStr">
        <is>
          <t>Personas realmente ocupadas; no equiparar vocales, puestos RPT o apoyo ministerial con plantilla</t>
        </is>
      </c>
      <c r="AJ29" s="10" t="inlineStr">
        <is>
          <t>Pendiente: sin cifra de personal ocupado verificada en el conjunto actual</t>
        </is>
      </c>
      <c r="AK29" s="10" t="n"/>
      <c r="AL29" s="12" t="n">
        <v>4.442</v>
      </c>
      <c r="AM29" s="10" t="n">
        <v>2026</v>
      </c>
      <c r="AN29" s="10" t="inlineStr">
        <is>
          <t>Capítulo 1: crédito TOTAL actualizado IGAE, corte 31/08/2026</t>
        </is>
      </c>
      <c r="AO29" s="10" t="inlineStr">
        <is>
          <t>Crédito autorizado, no gasto realizado ni solo salarios</t>
        </is>
      </c>
      <c r="AP29" s="10" t="inlineStr">
        <is>
          <t>https://www.igae.pap.hacienda.gob.es/sitios/igae/es-ES/Contabilidad/ContabilidadPublica/CPE/EjecucionPresupuestaria/Documents/ORGANISMOS%2008.%202026.pdf</t>
        </is>
      </c>
      <c r="AQ29" s="12" t="n">
        <v>3.2</v>
      </c>
      <c r="AR29" s="10" t="n">
        <v>2026</v>
      </c>
      <c r="AS29" s="10" t="inlineStr">
        <is>
          <t>Hasta 31/08/2026:8 meses, NO año completo</t>
        </is>
      </c>
      <c r="AT29" s="10" t="inlineStr">
        <is>
          <t>Capítulo 1: obligaciones reconocidas; incluye costes de personal, no desglose salarial puro</t>
        </is>
      </c>
      <c r="AU29" s="10" t="inlineStr">
        <is>
          <t>https://www.igae.pap.hacienda.gob.es/sitios/igae/es-ES/Contabilidad/ContabilidadPublica/CPE/EjecucionPresupuestaria/Documents/ORGANISMOS%2008.%202026.pdf</t>
        </is>
      </c>
      <c r="AV29" s="10" t="inlineStr">
        <is>
          <t>Fuente primaria cotejada contra fila y unidad milesEUR; no estimación</t>
        </is>
      </c>
      <c r="AW29" s="10" t="inlineStr">
        <is>
          <t>Crédito y gasto de personal individual verificados; plantilla ocupada solo si hay cifra y fecha independiente</t>
        </is>
      </c>
      <c r="AX29" s="14" t="n"/>
      <c r="AY29" s="14" t="n"/>
      <c r="AZ29" s="14" t="n"/>
      <c r="BA29" s="14" t="n"/>
      <c r="BB29" s="14" t="n"/>
      <c r="BC29" s="10" t="inlineStr">
        <is>
          <t>Revisado: AICA: inspección y sanción</t>
        </is>
      </c>
      <c r="BD29" s="10" t="inlineStr">
        <is>
          <t>Control cadena alimentaria y sanciones; no consentimiento legislativo en art3.</t>
        </is>
      </c>
      <c r="BE29" s="10" t="inlineStr">
        <is>
          <t>No consentimiento favorable ni veto legislativo establecido en las cláusulas revisadas.</t>
        </is>
      </c>
      <c r="BF29" s="10" t="inlineStr">
        <is>
          <t>Revisión limitada a las atribuciones citadas: no descarta trámites sectoriales en otras normas.</t>
        </is>
      </c>
      <c r="BG29" s="10" t="inlineStr">
        <is>
          <t>RD227/2014 art3 consolidado</t>
        </is>
      </c>
      <c r="BH29" s="10" t="inlineStr">
        <is>
          <t>https://www.boe.es/eli/es/rd/2014/04/04/227/con</t>
        </is>
      </c>
      <c r="BI29" s="12" t="n">
        <v>3.2</v>
      </c>
      <c r="BJ29" s="12" t="n">
        <v>4.092</v>
      </c>
      <c r="BK29" s="12" t="n">
        <v>2.833</v>
      </c>
      <c r="BL29" s="12" t="n"/>
      <c r="BM29" s="10" t="n"/>
      <c r="BN29" s="10" t="inlineStr">
        <is>
          <t>IGAE: columnas 2026 crédito / obligaciones / pagos;2025 crédito y obligaciones al mismo 31/08. No comparar 8 meses con año completo. Capítulo 1 no equivale solo a sueldos. PlantillaRPT del lote no incorporada sin verificación adicional.</t>
        </is>
      </c>
      <c r="BO29" s="12" t="n">
        <v>4.828</v>
      </c>
      <c r="BP29" s="12" t="n">
        <v>4.554</v>
      </c>
      <c r="BQ29" s="12" t="n">
        <v>4.554</v>
      </c>
      <c r="BR29" s="12" t="inlineStr">
        <is>
          <t>2025: hasta31/12/2025, año completo</t>
        </is>
      </c>
      <c r="BS29" s="12" t="inlineStr">
        <is>
          <t>Capítulo1: gastos de personal; obligaciones reconocidas, no solo salarios</t>
        </is>
      </c>
      <c r="BT29" s="12" t="inlineStr">
        <is>
          <t>https://www.igae.pap.hacienda.gob.es/sitios/igae/es-ES/Contabilidad/ContabilidadPublica/CPE/EjecucionPresupuestaria/Documents/ORGANISMOS%2012.%202025.pdf</t>
        </is>
      </c>
      <c r="BU29" s="12" t="inlineStr">
        <is>
          <t>Fuente primaria cotejada: IGAE edición12.2025, tabla y unidad milesEUR. No confundir con comparativa2025 de edición08.2026. Crédito comparativo edición08.2026: 4.092M; crédito cierre12.2025: 4.828M. La diferencia no prueba por sí sola origen/cause de transferencia.</t>
        </is>
      </c>
      <c r="BV29" s="27" t="inlineStr">
        <is>
          <t>Útil</t>
        </is>
      </c>
      <c r="BW29" s="27" t="inlineStr">
        <is>
          <t>Mantener</t>
        </is>
      </c>
      <c r="BX29" s="27" t="inlineStr">
        <is>
          <t>Regulación o inspección de terceros</t>
        </is>
      </c>
      <c r="BY29" s="12" t="n"/>
      <c r="BZ29" s="27" t="inlineStr">
        <is>
          <t>Sí: la Directiva (UE) 2019/633 exige una autoridad de control de prácticas comerciales desleales</t>
        </is>
      </c>
      <c r="CA29" s="27" t="inlineStr">
        <is>
          <t>Acreditada</t>
        </is>
      </c>
      <c r="CB29" s="27" t="inlineStr">
        <is>
          <t>Inspecciona y sanciona los abusos en la cadena alimentaria: el P100 refuerza esa inspección («lo que se produce se cobra»). Exigida por la UE.</t>
        </is>
      </c>
      <c r="CC29" s="27" t="inlineStr">
        <is>
          <t>Explícito en el P100: Crecer y producir 16</t>
        </is>
      </c>
      <c r="CD29" s="12" t="n"/>
      <c r="CE29" s="27" t="inlineStr">
        <is>
          <t>Cadena alimentaria</t>
        </is>
      </c>
      <c r="CF29" s="12" t="n"/>
      <c r="CG29" s="12" t="n"/>
      <c r="CH29" s="29">
        <f>IF(AND(ISNUMBER(BP29),ISNUMBER(AG29),AG29&gt;0),BP29*1000000/AG29,"")</f>
        <v/>
      </c>
      <c r="CI29" s="12" t="n"/>
      <c r="CJ29" s="12" t="n"/>
      <c r="CK29" s="12" t="n"/>
      <c r="CL29" s="12" t="n"/>
      <c r="CM29" s="12" t="n"/>
      <c r="CN29" s="12" t="n"/>
      <c r="CO29" s="12" t="n"/>
      <c r="CP29" s="12" t="n"/>
      <c r="CQ29" s="12" t="n"/>
      <c r="CR29" s="12" t="n"/>
      <c r="CS29" s="12" t="n"/>
    </row>
    <row r="30">
      <c r="A30" s="10" t="n">
        <v>29</v>
      </c>
      <c r="B30" s="10" t="inlineStr">
        <is>
          <t>Estatal</t>
        </is>
      </c>
      <c r="C30" s="10" t="inlineStr">
        <is>
          <t>Estado</t>
        </is>
      </c>
      <c r="D30" s="10" t="inlineStr">
        <is>
          <t>Rajoy</t>
        </is>
      </c>
      <c r="E30" s="10" t="inlineStr">
        <is>
          <t>Observatorio de la Cadena Alimentaria</t>
        </is>
      </c>
      <c r="F30" s="10" t="inlineStr">
        <is>
          <t>Sucesión/ampliación Observatorio de Precios de Alimentos, creado 2000</t>
        </is>
      </c>
      <c r="G30" s="10" t="inlineStr">
        <is>
          <t>2013-08-02</t>
        </is>
      </c>
      <c r="H30" s="10" t="inlineStr">
        <is>
          <t>Ley 12/2013</t>
        </is>
      </c>
      <c r="I30" s="10" t="inlineStr">
        <is>
          <t>Analizar precios, costes y funcionamiento de cadena alimentaria; estudios, recomendaciones y diálogo sectorial.</t>
        </is>
      </c>
      <c r="J30" s="10" t="inlineStr">
        <is>
          <t>Juicio: consultivo, no autoridad inspectora ni sancionadora. No confundir con AICA.</t>
        </is>
      </c>
      <c r="K30" s="11" t="n"/>
      <c r="L30" s="10" t="n"/>
      <c r="M30" s="10" t="n"/>
      <c r="N30" s="10" t="n"/>
      <c r="O30" s="10" t="inlineStr">
        <is>
          <t>Sin cifra propia actual verificada</t>
        </is>
      </c>
      <c r="P30" s="12" t="n"/>
      <c r="Q30" s="12" t="n"/>
      <c r="R30" s="10" t="inlineStr">
        <is>
          <t>No se ha identificado dotación individual en las fuentes consultadas. Se financia con medios del órgano matriz; no equivale a cero EUR y no se le atribuye todo el presupuesto ministerial.</t>
        </is>
      </c>
      <c r="S30" s="10" t="inlineStr">
        <is>
          <t>31/08/2026, salvo indicación distinta</t>
        </is>
      </c>
      <c r="T30" s="10" t="inlineStr">
        <is>
          <t>Sucesión institucional, no primera creación del observatorio estatal alimentario.</t>
        </is>
      </c>
      <c r="U30" s="10" t="inlineStr">
        <is>
          <t>No se ha verificado el número actual de puestos ocupados ni la independencia práctica de su dirección.</t>
        </is>
      </c>
      <c r="V30" s="10" t="inlineStr">
        <is>
          <t>Ámbito compartido; funciones distintas</t>
        </is>
      </c>
      <c r="W30" s="10" t="inlineStr">
        <is>
          <t>28</t>
        </is>
      </c>
      <c r="X30" s="10" t="inlineStr">
        <is>
          <t>Cadena alimentaria: AICA controla e inspecciona; el Observatorio estudia precios/costes y recomienda.</t>
        </is>
      </c>
      <c r="Y30" s="10" t="inlineStr">
        <is>
          <t>https://www.boe.es/diario_boe/txt.php?id=BOE-A-2013-8554
https://www.igae.pap.hacienda.gob.es/sitios/igae/es-ES/Contabilidad/ContabilidadPublica/CPE/EjecucionPresupuestaria/Documents/ORGANISMOS%2008.%202026.pdf
https://www.mapa.gob.es/es/alimentacion/temas/observatorio-cadena/funcion-estructura-normativa</t>
        </is>
      </c>
      <c r="Z30" s="30" t="inlineStr">
        <is>
          <t>https://www.boe.es/diario_boe/txt.php?id=BOE-A-2013-8554
https://www.mapa.gob.es/es/alimentacion/temas/observatorio-cadena/funcion-estructura-normativa
https://www.boe.es/eli/es/rd/2015/02/06/64/con</t>
        </is>
      </c>
      <c r="AA30" s="12" t="n"/>
      <c r="AB30" s="10" t="n"/>
      <c r="AC30" s="10" t="n"/>
      <c r="AD30" s="10" t="n"/>
      <c r="AE30" s="13" t="inlineStr">
        <is>
          <t>https://files.instinct.com/q91pr53q4umo-entidades-publicas-poder-y-presupuesto</t>
        </is>
      </c>
      <c r="AF30" s="10" t="inlineStr">
        <is>
          <t>12/10/2026</t>
        </is>
      </c>
      <c r="AG30" s="10" t="n"/>
      <c r="AH30" s="10" t="n"/>
      <c r="AI30" s="10" t="inlineStr">
        <is>
          <t>Personas realmente ocupadas; no equiparar vocales, puestos RPT o apoyo ministerial con plantilla</t>
        </is>
      </c>
      <c r="AJ30" s="10" t="inlineStr">
        <is>
          <t>Pendiente: sin cifra de personal ocupado verificada en el conjunto actual</t>
        </is>
      </c>
      <c r="AK30" s="10" t="n"/>
      <c r="AL30" s="12" t="n"/>
      <c r="AM30" s="10" t="n"/>
      <c r="AN30" s="10" t="n"/>
      <c r="AO30" s="10" t="inlineStr">
        <is>
          <t>Pendiente: sin coste de personal individual verificado en el conjunto actual</t>
        </is>
      </c>
      <c r="AP30" s="10" t="n"/>
      <c r="AQ30" s="12" t="n"/>
      <c r="AR30" s="10" t="n"/>
      <c r="AS30" s="10" t="n"/>
      <c r="AT30" s="10" t="n"/>
      <c r="AU30" s="10" t="n"/>
      <c r="AV30" s="10" t="inlineStr">
        <is>
          <t>Pendiente: no se ha verificado gasto salarial ejecutado individual en esta versión</t>
        </is>
      </c>
      <c r="AW30" s="10" t="inlineStr">
        <is>
          <t>SIN CIFRA INDIVIDUAL IDENTIFICADA de presupuesto, personal ocupado y salarios ejecutados en fuentes revisadas. No significa cero ni prueba de que nada esté publicado.</t>
        </is>
      </c>
      <c r="AX30" s="14" t="n"/>
      <c r="AY30" s="14" t="n"/>
      <c r="AZ30" s="14" t="n"/>
      <c r="BA30" s="14" t="n"/>
      <c r="BB30" s="14" t="inlineStr">
        <is>
          <t>Apoyo ministerial/departamental indicado en el lote y norma de la ficha; gasto individual no desglosado verificado. No repartir gasto total del ministerio. Medios del MAPA / AICA</t>
        </is>
      </c>
      <c r="BC30" s="10" t="inlineStr">
        <is>
          <t>Funciones consultivas revisadas: Estudios/recomendaciones e informe anual a Cortes sobre cadena alimentaria</t>
        </is>
      </c>
      <c r="BD30" s="10" t="inlineStr">
        <is>
          <t>No trámite obligatorio general de aprobación de leyes identificado en las funciones revisadas</t>
        </is>
      </c>
      <c r="BE30" s="10" t="inlineStr">
        <is>
          <t>No consentimiento favorable obligatorio o vinculación identificado en dichas funciones</t>
        </is>
      </c>
      <c r="BF30" s="10" t="inlineStr">
        <is>
          <t>No veto legal a aprobación de leyes atribuido por las funciones revisadas. Alcance limitado a norma revisada, no certificación de ausencia de cualquier norma sectorial posterior.</t>
        </is>
      </c>
      <c r="BG30" s="10" t="inlineStr">
        <is>
          <t>Ley 12/2013 art 20</t>
        </is>
      </c>
      <c r="BH30" s="10" t="inlineStr">
        <is>
          <t>https://www.boe.es/diario_boe/txt.php?id=BOE-A-2013-8554</t>
        </is>
      </c>
      <c r="BI30" s="12" t="n"/>
      <c r="BJ30" s="12" t="n"/>
      <c r="BK30" s="12" t="n"/>
      <c r="BL30" s="12" t="n"/>
      <c r="BM30" s="10" t="n"/>
      <c r="BN30" s="10" t="n"/>
      <c r="BO30" s="12" t="n"/>
      <c r="BP30" s="12" t="n"/>
      <c r="BQ30" s="12" t="n"/>
      <c r="BR30" s="12" t="n"/>
      <c r="BS30" s="12" t="n"/>
      <c r="BT30" s="12" t="n"/>
      <c r="BU30" s="12" t="n"/>
      <c r="BV30" s="27" t="inlineStr">
        <is>
          <t>No útil</t>
        </is>
      </c>
      <c r="BW30" s="27" t="inlineStr">
        <is>
          <t>Suprimir</t>
        </is>
      </c>
      <c r="BX30" s="27" t="inlineStr">
        <is>
          <t>Consultivo o participación</t>
        </is>
      </c>
      <c r="BY30" s="12" t="n"/>
      <c r="BZ30" s="27" t="inlineStr">
        <is>
          <t>No</t>
        </is>
      </c>
      <c r="CA30" s="27" t="inlineStr">
        <is>
          <t>Acreditada</t>
        </is>
      </c>
      <c r="CB30" s="27" t="inlineStr">
        <is>
          <t>Observatorio, consejo o comisión: el P100 los cierra salvo que su ministerio demuestre que su trabajo cambia decisiones o mejora un servicio; publicar informes no cuenta.</t>
        </is>
      </c>
      <c r="CC30" s="27" t="inlineStr">
        <is>
          <t>Explícito en el P100: Costes del Estado 2</t>
        </is>
      </c>
      <c r="CD30" s="27" t="inlineStr">
        <is>
          <t>Estructura ordinaria del ministerio, si alguna función resultara imprescindible</t>
        </is>
      </c>
      <c r="CE30" s="27" t="inlineStr">
        <is>
          <t>Cadena alimentaria</t>
        </is>
      </c>
      <c r="CF30" s="12" t="n"/>
      <c r="CG30" s="27" t="inlineStr">
        <is>
          <t>Apoyo: Según la norma, la secretaría es de la SG de Estructura de la Cadena Alimentaria (art. 11.1.d RD 64/2015); según la Memoria 2024, de la SG de Promoción de los Alimentos de España (DG de Alimentación, MAPA). Se financia con el presupuesto del MAPA (art. 13). vocales: 26. miembros: no retribuidos (art. 13 RD 64/2015: «ni sus miembros percibirán dietas por el ejercicio de sus funciones»).</t>
        </is>
      </c>
      <c r="CH30" s="29">
        <f>IF(AND(ISNUMBER(BP30),ISNUMBER(AG30),AG30&gt;0),BP30*1000000/AG30,"")</f>
        <v/>
      </c>
      <c r="CI30" s="12" t="n"/>
      <c r="CJ30" s="12" t="n"/>
      <c r="CK30" s="12" t="n"/>
      <c r="CL30" s="12" t="n"/>
      <c r="CM30" s="12" t="n"/>
      <c r="CN30" s="12" t="n"/>
      <c r="CO30" s="12" t="n"/>
      <c r="CP30" s="12" t="n"/>
      <c r="CQ30" s="12" t="n"/>
      <c r="CR30" s="12" t="n"/>
      <c r="CS30" s="12" t="n"/>
    </row>
    <row r="31">
      <c r="A31" s="10" t="n">
        <v>30</v>
      </c>
      <c r="B31" s="10" t="inlineStr">
        <is>
          <t>Estatal</t>
        </is>
      </c>
      <c r="C31" s="10" t="inlineStr">
        <is>
          <t>Estado</t>
        </is>
      </c>
      <c r="D31" s="10" t="inlineStr">
        <is>
          <t>Rajoy</t>
        </is>
      </c>
      <c r="E31" s="10" t="inlineStr">
        <is>
          <t>Organismo Estatal Inspección de Trabajo y Seguridad Social (OEITSS)</t>
        </is>
      </c>
      <c r="F31" s="10" t="inlineStr">
        <is>
          <t>Nueva entidad organizativa con funciones de inspección preexistentes</t>
        </is>
      </c>
      <c r="G31" s="10" t="inlineStr">
        <is>
          <t>2015-07-21</t>
        </is>
      </c>
      <c r="H31" s="10" t="inlineStr">
        <is>
          <t>Ley 23/2015; RD 192/2018, 6 de abril</t>
        </is>
      </c>
      <c r="I31" s="10" t="inlineStr">
        <is>
          <t>Gestionar sistema inspector laboral y Seguridad Social; vigilancia, actas, requerimientos y propuestas sancionadoras.</t>
        </is>
      </c>
      <c r="J31" s="10" t="inlineStr">
        <is>
          <t>Juicio: poder inspector y coercitivo real. La sanción corresponde al órgano legalmente competente; no toda acta equivale a multa decidida por el inspector.</t>
        </is>
      </c>
      <c r="K31" s="11" t="n">
        <v>229.842</v>
      </c>
      <c r="L31" s="10" t="n">
        <v>2026</v>
      </c>
      <c r="M31" s="10" t="inlineStr">
        <is>
          <t>Crédito total actualizado</t>
        </is>
      </c>
      <c r="N31" s="10" t="inlineStr">
        <is>
          <t>31/08/2026</t>
        </is>
      </c>
      <c r="O31" s="10" t="inlineStr">
        <is>
          <t>Cifra propia verificada</t>
        </is>
      </c>
      <c r="P31" s="12" t="n">
        <v>203.131</v>
      </c>
      <c r="Q31" s="12" t="n">
        <v>26.711</v>
      </c>
      <c r="R31" s="10" t="inlineStr">
        <is>
          <t>Presupuesto propio, crédito inicial 2026 203,131 M EUR; modificaciones netas +26,711 M; crédito total 229,842 M al 31/08/2026. IGAE p.42, cifras publicadas en miles de euros, no gasto ejecutado ni dotación solo administrativa.</t>
        </is>
      </c>
      <c r="S31" s="10" t="inlineStr">
        <is>
          <t>31/08/2026, salvo indicación distinta</t>
        </is>
      </c>
      <c r="T31" s="10" t="inlineStr">
        <is>
          <t>Creación legal 2015, estatutos/puesta en marcha 2018.</t>
        </is>
      </c>
      <c r="U31" s="10" t="inlineStr">
        <is>
          <t>No se ha verificado el número actual de puestos ocupados ni la independencia práctica de su dirección.</t>
        </is>
      </c>
      <c r="V31" s="10" t="inlineStr">
        <is>
          <t>No se ha identificado relación en esta revisión (no certifica ausencia)</t>
        </is>
      </c>
      <c r="W31" s="10" t="n"/>
      <c r="X31" s="10" t="inlineStr">
        <is>
          <t>Revisión cualitativa del mandato y estado de las 95 fichas; no auditoría exhaustiva de funciones ni proyectos.</t>
        </is>
      </c>
      <c r="Y31" s="10" t="n"/>
      <c r="Z31" s="10" t="inlineStr">
        <is>
          <t>https://www.boe.es/eli/es/l/2015/07/21/23/con
https://www.igae.pap.hacienda.gob.es/sitios/igae/es-ES/Contabilidad/ContabilidadPublica/CPE/EjecucionPresupuestaria/Documents/ORGANISMOS%2008.%202026.pdf
https://www.boe.es/eli/es/rd/2018/04/06/192/con</t>
        </is>
      </c>
      <c r="AA31" s="12" t="n"/>
      <c r="AB31" s="10" t="n"/>
      <c r="AC31" s="10" t="n"/>
      <c r="AD31" s="10" t="n"/>
      <c r="AE31" s="13" t="inlineStr">
        <is>
          <t>https://files.instinct.com/q91pr53q4umo-entidades-publicas-poder-y-presupuesto</t>
        </is>
      </c>
      <c r="AF31" s="10" t="inlineStr">
        <is>
          <t>12/10/2026</t>
        </is>
      </c>
      <c r="AG31" s="10" t="n"/>
      <c r="AH31" s="10" t="n"/>
      <c r="AI31" s="10" t="inlineStr">
        <is>
          <t>Personas realmente ocupadas; no equiparar vocales, puestos RPT o apoyo ministerial con plantilla</t>
        </is>
      </c>
      <c r="AJ31" s="10" t="inlineStr">
        <is>
          <t>Pendiente: sin cifra de personal ocupado verificada en el conjunto actual</t>
        </is>
      </c>
      <c r="AK31" s="10" t="n"/>
      <c r="AL31" s="12" t="n">
        <v>192.673</v>
      </c>
      <c r="AM31" s="10" t="n">
        <v>2026</v>
      </c>
      <c r="AN31" s="10" t="inlineStr">
        <is>
          <t>Capítulo 1: crédito TOTAL actualizado IGAE, corte 31/08/2026</t>
        </is>
      </c>
      <c r="AO31" s="10" t="inlineStr">
        <is>
          <t>Crédito autorizado, no gasto realizado ni solo salarios</t>
        </is>
      </c>
      <c r="AP31" s="10" t="inlineStr">
        <is>
          <t>https://www.igae.pap.hacienda.gob.es/sitios/igae/es-ES/Contabilidad/ContabilidadPublica/CPE/EjecucionPresupuestaria/Documents/ORGANISMOS%2008.%202026.pdf</t>
        </is>
      </c>
      <c r="AQ31" s="12" t="n">
        <v>124.35</v>
      </c>
      <c r="AR31" s="10" t="n">
        <v>2026</v>
      </c>
      <c r="AS31" s="10" t="inlineStr">
        <is>
          <t>Hasta 31/08/2026:8 meses, NO año completo</t>
        </is>
      </c>
      <c r="AT31" s="10" t="inlineStr">
        <is>
          <t>Capítulo 1: obligaciones reconocidas; incluye costes de personal, no desglose salarial puro</t>
        </is>
      </c>
      <c r="AU31" s="10" t="inlineStr">
        <is>
          <t>https://www.igae.pap.hacienda.gob.es/sitios/igae/es-ES/Contabilidad/ContabilidadPublica/CPE/EjecucionPresupuestaria/Documents/ORGANISMOS%2008.%202026.pdf</t>
        </is>
      </c>
      <c r="AV31" s="10" t="inlineStr">
        <is>
          <t>Fuente primaria cotejada contra fila y unidad milesEUR; no estimación</t>
        </is>
      </c>
      <c r="AW31" s="10" t="inlineStr">
        <is>
          <t>Crédito y gasto de personal individual verificados; plantilla ocupada solo si hay cifra y fecha independiente</t>
        </is>
      </c>
      <c r="AX31" s="14" t="n"/>
      <c r="AY31" s="14" t="n"/>
      <c r="AZ31" s="14" t="n"/>
      <c r="BA31" s="14" t="n"/>
      <c r="BB31" s="14" t="n"/>
      <c r="BC31" s="10" t="inlineStr">
        <is>
          <t>Revisado: OEITSS Consejo Rector</t>
        </is>
      </c>
      <c r="BD31" s="10" t="inlineStr">
        <is>
          <t>Conoce e informa propuestas normativas relativas al Sistema de Inspección; art29d no dice informe favorable ni veto.</t>
        </is>
      </c>
      <c r="BE31" s="10" t="inlineStr">
        <is>
          <t>No se exige consentimiento favorable ni carácter vinculante del informe en la cláusula citada; no es veto.</t>
        </is>
      </c>
      <c r="BF31" s="10" t="inlineStr">
        <is>
          <t>Consejo Rector interno del sistema; no tribunal ni órgano con veto legislativo.</t>
        </is>
      </c>
      <c r="BG31" s="10" t="inlineStr">
        <is>
          <t>Ley23/2015 art29d</t>
        </is>
      </c>
      <c r="BH31" s="10" t="inlineStr">
        <is>
          <t>https://www.boe.es/eli/es/l/2015/07/21/23/con</t>
        </is>
      </c>
      <c r="BI31" s="12" t="n">
        <v>124.35</v>
      </c>
      <c r="BJ31" s="12" t="n">
        <v>176.453</v>
      </c>
      <c r="BK31" s="12" t="n">
        <v>114.067</v>
      </c>
      <c r="BL31" s="12" t="n"/>
      <c r="BM31" s="10" t="n"/>
      <c r="BN31" s="10" t="inlineStr">
        <is>
          <t>IGAE: columnas 2026 crédito / obligaciones / pagos;2025 crédito y obligaciones al mismo 31/08. No comparar 8 meses con año completo. Capítulo 1 no equivale solo a sueldos. PlantillaRPT del lote no incorporada sin verificación adicional.</t>
        </is>
      </c>
      <c r="BO31" s="12" t="n">
        <v>187.324</v>
      </c>
      <c r="BP31" s="12" t="n">
        <v>186.223</v>
      </c>
      <c r="BQ31" s="12" t="n">
        <v>186.223</v>
      </c>
      <c r="BR31" s="12" t="inlineStr">
        <is>
          <t>2025: hasta31/12/2025, año completo</t>
        </is>
      </c>
      <c r="BS31" s="12" t="inlineStr">
        <is>
          <t>Capítulo1: gastos de personal; obligaciones reconocidas, no solo salarios</t>
        </is>
      </c>
      <c r="BT31" s="12" t="inlineStr">
        <is>
          <t>https://www.igae.pap.hacienda.gob.es/sitios/igae/es-ES/Contabilidad/ContabilidadPublica/CPE/EjecucionPresupuestaria/Documents/ORGANISMOS%2012.%202025.pdf</t>
        </is>
      </c>
      <c r="BU31" s="12" t="inlineStr">
        <is>
          <t>Fuente primaria cotejada: IGAE edición12.2025, tabla y unidad milesEUR. No confundir con comparativa2025 de edición08.2026. Crédito comparativo edición08.2026: 176.453M; crédito cierre12.2025: 187.324M. La diferencia no prueba por sí sola origen/cause de transferencia.</t>
        </is>
      </c>
      <c r="BV31" s="27" t="inlineStr">
        <is>
          <t>Útil</t>
        </is>
      </c>
      <c r="BW31" s="27" t="inlineStr">
        <is>
          <t>Mantener</t>
        </is>
      </c>
      <c r="BX31" s="27" t="inlineStr">
        <is>
          <t>Regulación o inspección de terceros</t>
        </is>
      </c>
      <c r="BY31" s="12" t="n"/>
      <c r="BZ31" s="27" t="inlineStr">
        <is>
          <t>No</t>
        </is>
      </c>
      <c r="CA31" s="27" t="inlineStr">
        <is>
          <t>Acreditada</t>
        </is>
      </c>
      <c r="CB31" s="27" t="inlineStr">
        <is>
          <t>Inspecciona el trabajo y la Seguridad Social; el P100 le encarga perseguir la contratación irregular y los falsos autónomos.</t>
        </is>
      </c>
      <c r="CC31" s="27" t="inlineStr">
        <is>
          <t>Explícito en el P100: Inmigración 4 e Impuestos 3</t>
        </is>
      </c>
      <c r="CD31" s="12" t="n"/>
      <c r="CE31" s="27" t="inlineStr">
        <is>
          <t>Inspección de trabajo</t>
        </is>
      </c>
      <c r="CF31" s="12" t="n"/>
      <c r="CG31" s="12" t="n"/>
      <c r="CH31" s="29">
        <f>IF(AND(ISNUMBER(BP31),ISNUMBER(AG31),AG31&gt;0),BP31*1000000/AG31,"")</f>
        <v/>
      </c>
      <c r="CI31" s="12" t="n"/>
      <c r="CJ31" s="12" t="n"/>
      <c r="CK31" s="12" t="n"/>
      <c r="CL31" s="12" t="n"/>
      <c r="CM31" s="12" t="n"/>
      <c r="CN31" s="12" t="n"/>
      <c r="CO31" s="12" t="n"/>
      <c r="CP31" s="12" t="n"/>
      <c r="CQ31" s="12" t="n"/>
      <c r="CR31" s="12" t="n"/>
      <c r="CS31" s="12" t="n"/>
    </row>
    <row r="32">
      <c r="A32" s="10" t="n">
        <v>31</v>
      </c>
      <c r="B32" s="10" t="inlineStr">
        <is>
          <t>Estatal</t>
        </is>
      </c>
      <c r="C32" s="10" t="inlineStr">
        <is>
          <t>Estado</t>
        </is>
      </c>
      <c r="D32" s="10" t="inlineStr">
        <is>
          <t>Zapatero</t>
        </is>
      </c>
      <c r="E32" s="10" t="inlineStr">
        <is>
          <t>Agencia Española de Cooperación Internacional para el Desarrollo (AECID)</t>
        </is>
      </c>
      <c r="F32" s="10" t="inlineStr">
        <is>
          <t>Transformación de organismo/servicio anterior, no origen de sus funciones</t>
        </is>
      </c>
      <c r="G32" s="10" t="inlineStr">
        <is>
          <t>2007-10-26</t>
        </is>
      </c>
      <c r="H32" s="10" t="inlineStr">
        <is>
          <t>RD 1403/2007</t>
        </is>
      </c>
      <c r="I32" s="10" t="inlineStr">
        <is>
          <t>Gestionar y ejecutar política de cooperación y ayuda humanitaria.</t>
        </is>
      </c>
      <c r="J32" s="10" t="inlineStr">
        <is>
          <t>Juicio: actividad ejecutiva o técnica real y presupuesto propio. La transformación no prueba creación de funciones nuevas.</t>
        </is>
      </c>
      <c r="K32" s="11" t="n">
        <v>758.265</v>
      </c>
      <c r="L32" s="10" t="n">
        <v>2026</v>
      </c>
      <c r="M32" s="10" t="inlineStr">
        <is>
          <t>Crédito total actualizado</t>
        </is>
      </c>
      <c r="N32" s="10" t="inlineStr">
        <is>
          <t>31/08/2026</t>
        </is>
      </c>
      <c r="O32" s="10" t="inlineStr">
        <is>
          <t>Cifra propia verificada</t>
        </is>
      </c>
      <c r="P32" s="12" t="n">
        <v>704.423</v>
      </c>
      <c r="Q32" s="12" t="n">
        <v>53.842</v>
      </c>
      <c r="R32" s="10" t="inlineStr">
        <is>
          <t>Presupuesto propio, crédito inicial 2026 704,423 M EUR; modificaciones netas +53,842 M; crédito total 758,265 M al 31/08/2026. IGAE p.99, cifras publicadas en miles de euros, no gasto ejecutado ni dotación solo administrativa.</t>
        </is>
      </c>
      <c r="S32" s="10" t="inlineStr">
        <is>
          <t>31/08/2026, salvo indicación distinta</t>
        </is>
      </c>
      <c r="T32" s="10" t="inlineStr">
        <is>
          <t>Vigente; estado operativo no exhaustivamente auditado</t>
        </is>
      </c>
      <c r="U32" s="30" t="inlineStr">
        <is>
          <t>Plantilla ocupada: ver columna de personal (EPSAP enero 2026 o fuente indicada); no se ha verificado la independencia práctica de su dirección.</t>
        </is>
      </c>
      <c r="V32" s="10" t="inlineStr">
        <is>
          <t>Mandato paralelo en distinto nivel territorial</t>
        </is>
      </c>
      <c r="W32" s="10" t="inlineStr">
        <is>
          <t>73</t>
        </is>
      </c>
      <c r="X32" s="10" t="inlineStr">
        <is>
          <t>Cooperación y ayudas internacionales estatal y andaluza. La coincidencia de mandato no prueba duplicación de proyectos o gasto.</t>
        </is>
      </c>
      <c r="Y32" s="10" t="inlineStr">
        <is>
          <t>https://www.boe.es/eli/es/rd/2007/10/26/1403/con
https://www.igae.pap.hacienda.gob.es/sitios/igae/es-ES/Contabilidad/ContabilidadPublica/CPE/EjecucionPresupuestaria/Documents/ORGANISMOS%2008.%202026.pdf
https://www.juntadeandalucia.es/boja/2006/98/d2.pdf
https://www.juntadeandalucia.es/export/presup2026/estado/programas/estadoIII-d-9.pdf</t>
        </is>
      </c>
      <c r="Z32" s="10" t="inlineStr">
        <is>
          <t>https://www.boe.es/eli/es/rd/2007/10/26/1403/con
https://www.igae.pap.hacienda.gob.es/sitios/igae/es-ES/Contabilidad/ContabilidadPublica/CPE/EjecucionPresupuestaria/Documents/ORGANISMOS%2008.%202026.pdf</t>
        </is>
      </c>
      <c r="AA32" s="12" t="n"/>
      <c r="AB32" s="10" t="n"/>
      <c r="AC32" s="10" t="n"/>
      <c r="AD32" s="10" t="n"/>
      <c r="AE32" s="13" t="inlineStr">
        <is>
          <t>https://files.instinct.com/q91pr53q4umo-entidades-publicas-poder-y-presupuesto</t>
        </is>
      </c>
      <c r="AF32" s="10" t="inlineStr">
        <is>
          <t>12/10/2026</t>
        </is>
      </c>
      <c r="AG32" s="10" t="n">
        <v>880</v>
      </c>
      <c r="AH32" s="10" t="inlineStr">
        <is>
          <t>2026-07-15</t>
        </is>
      </c>
      <c r="AI32" s="10" t="inlineStr">
        <is>
          <t>empleados: 407 sede Madrid + 473 exterior</t>
        </is>
      </c>
      <c r="AJ32" s="10" t="inlineStr">
        <is>
          <t>Cifra de personal publicada en fuente primaria; fecha indicada, no inferir vigencia posterior</t>
        </is>
      </c>
      <c r="AK32" s="10" t="inlineStr">
        <is>
          <t>https://www.aecid.es/informacion-de-recursos-humanos</t>
        </is>
      </c>
      <c r="AL32" s="12" t="n">
        <v>51.306</v>
      </c>
      <c r="AM32" s="10" t="n">
        <v>2026</v>
      </c>
      <c r="AN32" s="10" t="inlineStr">
        <is>
          <t>Capítulo 1: crédito TOTAL actualizado IGAE, corte 31/08/2026</t>
        </is>
      </c>
      <c r="AO32" s="10" t="inlineStr">
        <is>
          <t>Crédito autorizado, no gasto realizado ni solo salarios</t>
        </is>
      </c>
      <c r="AP32" s="10" t="inlineStr">
        <is>
          <t>https://www.igae.pap.hacienda.gob.es/sitios/igae/es-ES/Contabilidad/ContabilidadPublica/CPE/EjecucionPresupuestaria/Documents/ORGANISMOS%2008.%202026.pdf</t>
        </is>
      </c>
      <c r="AQ32" s="12" t="n">
        <v>31.773</v>
      </c>
      <c r="AR32" s="10" t="n">
        <v>2026</v>
      </c>
      <c r="AS32" s="10" t="inlineStr">
        <is>
          <t>Hasta 31/08/2026:8 meses, NO año completo</t>
        </is>
      </c>
      <c r="AT32" s="10" t="inlineStr">
        <is>
          <t>Capítulo 1: obligaciones reconocidas; incluye costes de personal, no desglose salarial puro</t>
        </is>
      </c>
      <c r="AU32" s="10" t="inlineStr">
        <is>
          <t>https://www.igae.pap.hacienda.gob.es/sitios/igae/es-ES/Contabilidad/ContabilidadPublica/CPE/EjecucionPresupuestaria/Documents/ORGANISMOS%2008.%202026.pdf</t>
        </is>
      </c>
      <c r="AV32" s="10" t="inlineStr">
        <is>
          <t>Fuente primaria cotejada contra fila y unidad milesEUR; no estimación</t>
        </is>
      </c>
      <c r="AW32" s="10" t="inlineStr">
        <is>
          <t>Crédito y gasto de personal individual verificados; plantilla ocupada solo si hay cifra y fecha independiente</t>
        </is>
      </c>
      <c r="AX32" s="14" t="n"/>
      <c r="AY32" s="14" t="n"/>
      <c r="AZ32" s="14" t="n"/>
      <c r="BA32" s="14" t="n"/>
      <c r="BB32" s="14" t="inlineStr">
        <is>
          <t>RPT laboral de convenio publicada a 15-7-2026 (https://www.aecid.es/documents/d/guest/rpt-aecid-personal-laboral-de-convenio-15-7-2026-pdf); conteo pendiente</t>
        </is>
      </c>
      <c r="BC32" s="10" t="inlineStr">
        <is>
          <t>Revisado: AECID: planificación y ejecución cooperación</t>
        </is>
      </c>
      <c r="BD32" s="10" t="inlineStr">
        <is>
          <t>Participa planificación/asesoramiento y tiene normas internas; no informe legislativo general en arts3-5. ConsejoCooperación que informa estatuto es otro órgano.</t>
        </is>
      </c>
      <c r="BE32" s="10" t="inlineStr">
        <is>
          <t>No consentimiento favorable ni veto legislativo establecido en las cláusulas revisadas.</t>
        </is>
      </c>
      <c r="BF32" s="10" t="inlineStr">
        <is>
          <t>Revisión limitada a las atribuciones citadas: no descarta trámites sectoriales en otras normas.</t>
        </is>
      </c>
      <c r="BG32" s="10" t="inlineStr">
        <is>
          <t>RD1246/2024 arts3,5</t>
        </is>
      </c>
      <c r="BH32" s="10" t="inlineStr">
        <is>
          <t>https://www.boe.es/eli/es/rd/2024/12/10/1246/con</t>
        </is>
      </c>
      <c r="BI32" s="12" t="n">
        <v>31.442</v>
      </c>
      <c r="BJ32" s="12" t="n">
        <v>51.306</v>
      </c>
      <c r="BK32" s="12" t="n">
        <v>27.971</v>
      </c>
      <c r="BL32" s="12" t="n"/>
      <c r="BM32" s="10" t="n"/>
      <c r="BN32" s="10" t="inlineStr">
        <is>
          <t>IGAE: columnas 2026 crédito / obligaciones / pagos;2025 crédito y obligaciones al mismo 31/08. No comparar 8 meses con año completo. Capítulo 1 no equivale solo a sueldos. PlantillaRPT del lote no incorporada sin verificación adicional.</t>
        </is>
      </c>
      <c r="BO32" s="12" t="n">
        <v>51.38</v>
      </c>
      <c r="BP32" s="12" t="n">
        <v>43.833</v>
      </c>
      <c r="BQ32" s="12" t="n">
        <v>43.833</v>
      </c>
      <c r="BR32" s="12" t="inlineStr">
        <is>
          <t>2025: hasta31/12/2025, año completo</t>
        </is>
      </c>
      <c r="BS32" s="12" t="inlineStr">
        <is>
          <t>Capítulo1: gastos de personal; obligaciones reconocidas, no solo salarios</t>
        </is>
      </c>
      <c r="BT32" s="12" t="inlineStr">
        <is>
          <t>https://www.igae.pap.hacienda.gob.es/sitios/igae/es-ES/Contabilidad/ContabilidadPublica/CPE/EjecucionPresupuestaria/Documents/ORGANISMOS%2012.%202025.pdf</t>
        </is>
      </c>
      <c r="BU32" s="12" t="inlineStr">
        <is>
          <t>Fuente primaria cotejada: IGAE edición12.2025, tabla y unidad milesEUR. No confundir con comparativa2025 de edición08.2026. Crédito comparativo edición08.2026: 51.306M; crédito cierre12.2025: 51.38M. La diferencia no prueba por sí sola origen/cause de transferencia.</t>
        </is>
      </c>
      <c r="BV32" s="27" t="inlineStr">
        <is>
          <t>Útil</t>
        </is>
      </c>
      <c r="BW32" s="27" t="inlineStr">
        <is>
          <t>Reformar</t>
        </is>
      </c>
      <c r="BX32" s="27" t="inlineStr">
        <is>
          <t>Financiación y ayudas</t>
        </is>
      </c>
      <c r="BY32" s="27" t="inlineStr">
        <is>
          <t>Organismo estatal de referencia. 5 comunidades tienen el suyo propio; 6 organismos sobre este tema entre el Estado y las CCAA (verificados).</t>
        </is>
      </c>
      <c r="BZ32" s="27" t="inlineStr">
        <is>
          <t>No</t>
        </is>
      </c>
      <c r="CA32" s="27" t="inlineStr">
        <is>
          <t>Acreditada</t>
        </is>
      </c>
      <c r="CB32" s="27" t="inlineStr">
        <is>
          <t>Ejecuta la cooperación al desarrollo; el P100 deroga la senda del 0,7%, mantiene la ayuda humanitaria y concentra el resto en países que colaboren en el control migratorio.</t>
        </is>
      </c>
      <c r="CC32" s="27" t="inlineStr">
        <is>
          <t>Explícito en el P100: Costes del Estado 5</t>
        </is>
      </c>
      <c r="CD32" s="12" t="n"/>
      <c r="CE32" s="27" t="inlineStr">
        <is>
          <t>Agencias de cooperación al desarrollo</t>
        </is>
      </c>
      <c r="CF32" s="28" t="n">
        <v>6</v>
      </c>
      <c r="CG32" s="12" t="n"/>
      <c r="CH32" s="29">
        <f>IF(AND(ISNUMBER(BP32),ISNUMBER(AG32),AG32&gt;0),BP32*1000000/AG32,"")</f>
        <v/>
      </c>
      <c r="CI32" s="12" t="n"/>
      <c r="CJ32" s="12" t="n"/>
      <c r="CK32" s="12" t="n"/>
      <c r="CL32" s="12" t="n"/>
      <c r="CM32" s="12" t="n"/>
      <c r="CN32" s="12" t="n"/>
      <c r="CO32" s="12" t="n"/>
      <c r="CP32" s="12" t="n"/>
      <c r="CQ32" s="12" t="n"/>
      <c r="CR32" s="12" t="n"/>
      <c r="CS32" s="12" t="n"/>
    </row>
    <row r="33">
      <c r="A33" s="10" t="n">
        <v>32</v>
      </c>
      <c r="B33" s="10" t="inlineStr">
        <is>
          <t>Estatal</t>
        </is>
      </c>
      <c r="C33" s="10" t="inlineStr">
        <is>
          <t>Estado</t>
        </is>
      </c>
      <c r="D33" s="10" t="inlineStr">
        <is>
          <t>Zapatero</t>
        </is>
      </c>
      <c r="E33" s="10" t="inlineStr">
        <is>
          <t>Agencia Estatal Boletín Oficial del Estado</t>
        </is>
      </c>
      <c r="F33" s="10" t="inlineStr">
        <is>
          <t>Transformación de organismo/servicio anterior, no origen de sus funciones</t>
        </is>
      </c>
      <c r="G33" s="10" t="inlineStr">
        <is>
          <t>2007-11-12</t>
        </is>
      </c>
      <c r="H33" s="10" t="inlineStr">
        <is>
          <t>RD 1495/2007</t>
        </is>
      </c>
      <c r="I33" s="10" t="inlineStr">
        <is>
          <t>Publicar diario oficial y servicios de difusión normativa.</t>
        </is>
      </c>
      <c r="J33" s="10" t="inlineStr">
        <is>
          <t>Juicio: actividad ejecutiva o técnica real y presupuesto propio. La transformación no prueba creación de funciones nuevas.</t>
        </is>
      </c>
      <c r="K33" s="11" t="n">
        <v>33.708</v>
      </c>
      <c r="L33" s="10" t="n">
        <v>2026</v>
      </c>
      <c r="M33" s="10" t="inlineStr">
        <is>
          <t>Crédito total actualizado</t>
        </is>
      </c>
      <c r="N33" s="10" t="inlineStr">
        <is>
          <t>31/08/2026</t>
        </is>
      </c>
      <c r="O33" s="10" t="inlineStr">
        <is>
          <t>Cifra propia verificada</t>
        </is>
      </c>
      <c r="P33" s="12" t="n">
        <v>33.114</v>
      </c>
      <c r="Q33" s="12" t="n">
        <v>0.594</v>
      </c>
      <c r="R33" s="10" t="inlineStr">
        <is>
          <t>Presupuesto propio, crédito inicial 2026 33,114 M EUR; modificaciones netas +0,594 M; crédito total 33,708 M al 31/08/2026. IGAE p.99, cifras publicadas en miles de euros, no gasto ejecutado ni dotación solo administrativa.</t>
        </is>
      </c>
      <c r="S33" s="10" t="inlineStr">
        <is>
          <t>31/08/2026, salvo indicación distinta</t>
        </is>
      </c>
      <c r="T33" s="10" t="inlineStr">
        <is>
          <t>Vigente; estado operativo no exhaustivamente auditado</t>
        </is>
      </c>
      <c r="U33" s="10" t="inlineStr">
        <is>
          <t>No se ha verificado el número actual de puestos ocupados ni la independencia práctica de su dirección.</t>
        </is>
      </c>
      <c r="V33" s="10" t="inlineStr">
        <is>
          <t>No se ha identificado relación en esta revisión (no certifica ausencia)</t>
        </is>
      </c>
      <c r="W33" s="10" t="n"/>
      <c r="X33" s="10" t="inlineStr">
        <is>
          <t>Revisión cualitativa del mandato y estado de las 95 fichas; no auditoría exhaustiva de funciones ni proyectos.</t>
        </is>
      </c>
      <c r="Y33" s="10" t="n"/>
      <c r="Z33" s="10" t="inlineStr">
        <is>
          <t>https://www.boe.es/eli/es/rd/2007/11/12/1495
https://www.igae.pap.hacienda.gob.es/sitios/igae/es-ES/Contabilidad/ContabilidadPublica/CPE/EjecucionPresupuestaria/Documents/ORGANISMOS%2008.%202026.pdf</t>
        </is>
      </c>
      <c r="AA33" s="12" t="n"/>
      <c r="AB33" s="10" t="n"/>
      <c r="AC33" s="10" t="n"/>
      <c r="AD33" s="10" t="n"/>
      <c r="AE33" s="13" t="inlineStr">
        <is>
          <t>https://files.instinct.com/q91pr53q4umo-entidades-publicas-poder-y-presupuesto</t>
        </is>
      </c>
      <c r="AF33" s="10" t="inlineStr">
        <is>
          <t>12/10/2026</t>
        </is>
      </c>
      <c r="AG33" s="10" t="n"/>
      <c r="AH33" s="10" t="n"/>
      <c r="AI33" s="10" t="inlineStr">
        <is>
          <t>Personas realmente ocupadas; no equiparar vocales, puestos RPT o apoyo ministerial con plantilla</t>
        </is>
      </c>
      <c r="AJ33" s="10" t="inlineStr">
        <is>
          <t>Pendiente: sin cifra de personal ocupado verificada en el conjunto actual</t>
        </is>
      </c>
      <c r="AK33" s="10" t="n"/>
      <c r="AL33" s="12" t="n">
        <v>20.696</v>
      </c>
      <c r="AM33" s="10" t="n">
        <v>2026</v>
      </c>
      <c r="AN33" s="10" t="inlineStr">
        <is>
          <t>Capítulo 1: crédito TOTAL actualizado IGAE, corte 31/08/2026</t>
        </is>
      </c>
      <c r="AO33" s="10" t="inlineStr">
        <is>
          <t>Crédito autorizado, no gasto realizado ni solo salarios</t>
        </is>
      </c>
      <c r="AP33" s="10" t="inlineStr">
        <is>
          <t>https://www.igae.pap.hacienda.gob.es/sitios/igae/es-ES/Contabilidad/ContabilidadPublica/CPE/EjecucionPresupuestaria/Documents/ORGANISMOS%2008.%202026.pdf</t>
        </is>
      </c>
      <c r="AQ33" s="12" t="n">
        <v>10.586</v>
      </c>
      <c r="AR33" s="10" t="n">
        <v>2026</v>
      </c>
      <c r="AS33" s="10" t="inlineStr">
        <is>
          <t>Hasta 31/08/2026:8 meses, NO año completo</t>
        </is>
      </c>
      <c r="AT33" s="10" t="inlineStr">
        <is>
          <t>Capítulo 1: obligaciones reconocidas; incluye costes de personal, no desglose salarial puro</t>
        </is>
      </c>
      <c r="AU33" s="10" t="inlineStr">
        <is>
          <t>https://www.igae.pap.hacienda.gob.es/sitios/igae/es-ES/Contabilidad/ContabilidadPublica/CPE/EjecucionPresupuestaria/Documents/ORGANISMOS%2008.%202026.pdf</t>
        </is>
      </c>
      <c r="AV33" s="10" t="inlineStr">
        <is>
          <t>Fuente primaria cotejada contra fila y unidad milesEUR; no estimación</t>
        </is>
      </c>
      <c r="AW33" s="10" t="inlineStr">
        <is>
          <t>Crédito y gasto de personal individual verificados; plantilla ocupada solo si hay cifra y fecha independiente</t>
        </is>
      </c>
      <c r="AX33" s="14" t="n"/>
      <c r="AY33" s="14" t="n"/>
      <c r="AZ33" s="14" t="n"/>
      <c r="BA33" s="14" t="n"/>
      <c r="BB33" s="14" t="n"/>
      <c r="BC33" s="10" t="inlineStr">
        <is>
          <t>Revisado: BOE</t>
        </is>
      </c>
      <c r="BD33" s="10" t="inlineStr">
        <is>
          <t>Publica/difunde leyes: publicar no es emitir dictamen favorable ni consentir aprobación.</t>
        </is>
      </c>
      <c r="BE33" s="10" t="inlineStr">
        <is>
          <t>No consentimiento favorable para leyes establecido en funciones revisadas.</t>
        </is>
      </c>
      <c r="BF33" s="10" t="inlineStr">
        <is>
          <t>No veto legislativo identificado en estas cláusulas; no pretende descartar obligaciones sectoriales en otras normas.</t>
        </is>
      </c>
      <c r="BG33" s="10" t="inlineStr">
        <is>
          <t>RD1495/2007 art6</t>
        </is>
      </c>
      <c r="BH33" s="10" t="inlineStr">
        <is>
          <t>https://www.boe.es/eli/es/rd/2007/11/12/1495</t>
        </is>
      </c>
      <c r="BI33" s="12" t="n">
        <v>10.586</v>
      </c>
      <c r="BJ33" s="12" t="n">
        <v>20.696</v>
      </c>
      <c r="BK33" s="12" t="n">
        <v>10.232</v>
      </c>
      <c r="BL33" s="12" t="n"/>
      <c r="BM33" s="10" t="n"/>
      <c r="BN33" s="10" t="inlineStr">
        <is>
          <t>IGAE: columnas 2026 crédito / obligaciones / pagos;2025 crédito y obligaciones al mismo 31/08. No comparar 8 meses con año completo. Capítulo 1 no equivale solo a sueldos. PlantillaRPT del lote no incorporada sin verificación adicional.</t>
        </is>
      </c>
      <c r="BO33" s="12" t="n">
        <v>20.696</v>
      </c>
      <c r="BP33" s="12" t="n">
        <v>15.933</v>
      </c>
      <c r="BQ33" s="12" t="n">
        <v>15.933</v>
      </c>
      <c r="BR33" s="12" t="inlineStr">
        <is>
          <t>2025: hasta31/12/2025, año completo</t>
        </is>
      </c>
      <c r="BS33" s="12" t="inlineStr">
        <is>
          <t>Capítulo1: gastos de personal; obligaciones reconocidas, no solo salarios</t>
        </is>
      </c>
      <c r="BT33" s="12" t="inlineStr">
        <is>
          <t>https://www.igae.pap.hacienda.gob.es/sitios/igae/es-ES/Contabilidad/ContabilidadPublica/CPE/EjecucionPresupuestaria/Documents/ORGANISMOS%2012.%202025.pdf</t>
        </is>
      </c>
      <c r="BU33" s="12" t="inlineStr">
        <is>
          <t>Fuente primaria cotejada: IGAE edición12.2025, tabla y unidad milesEUR. No confundir con comparativa2025 de edición08.2026.</t>
        </is>
      </c>
      <c r="BV33" s="27" t="inlineStr">
        <is>
          <t>Útil</t>
        </is>
      </c>
      <c r="BW33" s="27" t="inlineStr">
        <is>
          <t>Mantener</t>
        </is>
      </c>
      <c r="BX33" s="27" t="inlineStr">
        <is>
          <t>Servicio público directo</t>
        </is>
      </c>
      <c r="BY33" s="12" t="n"/>
      <c r="BZ33" s="27" t="inlineStr">
        <is>
          <t>No</t>
        </is>
      </c>
      <c r="CA33" s="27" t="inlineStr">
        <is>
          <t>Acreditada</t>
        </is>
      </c>
      <c r="CB33" s="27" t="inlineStr">
        <is>
          <t>Publica el BOE; se financia en buena parte con sus propios ingresos.</t>
        </is>
      </c>
      <c r="CC33" s="27" t="inlineStr">
        <is>
          <t>Aplicando el criterio del P100: Servicio directo</t>
        </is>
      </c>
      <c r="CD33" s="12" t="n"/>
      <c r="CE33" s="27" t="inlineStr">
        <is>
          <t>Diario oficial</t>
        </is>
      </c>
      <c r="CF33" s="12" t="n"/>
      <c r="CG33" s="12" t="n"/>
      <c r="CH33" s="29">
        <f>IF(AND(ISNUMBER(BP33),ISNUMBER(AG33),AG33&gt;0),BP33*1000000/AG33,"")</f>
        <v/>
      </c>
      <c r="CI33" s="12" t="n"/>
      <c r="CJ33" s="12" t="n"/>
      <c r="CK33" s="12" t="n"/>
      <c r="CL33" s="12" t="n"/>
      <c r="CM33" s="12" t="n"/>
      <c r="CN33" s="12" t="n"/>
      <c r="CO33" s="12" t="n"/>
      <c r="CP33" s="12" t="n"/>
      <c r="CQ33" s="12" t="n"/>
      <c r="CR33" s="12" t="n"/>
      <c r="CS33" s="12" t="n"/>
    </row>
    <row r="34">
      <c r="A34" s="10" t="n">
        <v>33</v>
      </c>
      <c r="B34" s="10" t="inlineStr">
        <is>
          <t>Estatal</t>
        </is>
      </c>
      <c r="C34" s="10" t="inlineStr">
        <is>
          <t>Estado</t>
        </is>
      </c>
      <c r="D34" s="10" t="inlineStr">
        <is>
          <t>Zapatero</t>
        </is>
      </c>
      <c r="E34" s="10" t="inlineStr">
        <is>
          <t>Agencia Estatal Consejo Superior de Investigaciones Científicas (CSIC)</t>
        </is>
      </c>
      <c r="F34" s="10" t="inlineStr">
        <is>
          <t>Transformación de organismo/servicio anterior, no origen de sus funciones</t>
        </is>
      </c>
      <c r="G34" s="10" t="inlineStr">
        <is>
          <t>2007-12-21</t>
        </is>
      </c>
      <c r="H34" s="10" t="inlineStr">
        <is>
          <t>RD 1730/2007</t>
        </is>
      </c>
      <c r="I34" s="10" t="inlineStr">
        <is>
          <t>Realizar investigación científica, desarrollo tecnológico, formación y transferencia.</t>
        </is>
      </c>
      <c r="J34" s="10" t="inlineStr">
        <is>
          <t>Juicio: actividad ejecutiva o técnica real y presupuesto propio. La transformación no prueba creación de funciones nuevas.</t>
        </is>
      </c>
      <c r="K34" s="11" t="n">
        <v>1543.754</v>
      </c>
      <c r="L34" s="10" t="n">
        <v>2026</v>
      </c>
      <c r="M34" s="10" t="inlineStr">
        <is>
          <t>Crédito total actualizado</t>
        </is>
      </c>
      <c r="N34" s="10" t="inlineStr">
        <is>
          <t>31/08/2026</t>
        </is>
      </c>
      <c r="O34" s="10" t="inlineStr">
        <is>
          <t>Cifra propia verificada</t>
        </is>
      </c>
      <c r="P34" s="12" t="n">
        <v>1213.105</v>
      </c>
      <c r="Q34" s="12" t="n">
        <v>330.649</v>
      </c>
      <c r="R34" s="10" t="inlineStr">
        <is>
          <t>Presupuesto propio, crédito inicial 2026 1.213,105 M EUR; modificaciones netas +330,649 M; crédito total 1.543,754 M al 31/08/2026. IGAE p.100, cifras publicadas en miles de euros, no gasto ejecutado ni dotación solo administrativa.</t>
        </is>
      </c>
      <c r="S34" s="10" t="inlineStr">
        <is>
          <t>31/08/2026, salvo indicación distinta</t>
        </is>
      </c>
      <c r="T34" s="10" t="inlineStr">
        <is>
          <t>Vigente; estado operativo no exhaustivamente auditado</t>
        </is>
      </c>
      <c r="U34" s="10" t="inlineStr">
        <is>
          <t>No se ha verificado el número actual de puestos ocupados ni la independencia práctica de su dirección.</t>
        </is>
      </c>
      <c r="V34" s="10" t="inlineStr">
        <is>
          <t>Ámbito temático próximo; funciones distintas; Ámbito I+D+i próximo; funciones y territorios distintos</t>
        </is>
      </c>
      <c r="W34" s="10" t="inlineStr">
        <is>
          <t>4, 89, 112, 117</t>
        </is>
      </c>
      <c r="X34" s="10" t="inlineStr">
        <is>
          <t>Investigación/innovación: AEI financia y sigue ayudas, CSIC realiza investigación, GAIN promueve innovación autonómica. No hay doble financiación demostrada. | Financiación, investigación o innovación en ámbitos estatales y autonómicos distintos; no equivalencia de programas ni doble financiación demostrada.</t>
        </is>
      </c>
      <c r="Y34" s="10" t="inlineStr">
        <is>
          <t>https://www.boe.es/eli/es/rd/2015/11/27/1067
https://www.igae.pap.hacienda.gob.es/sitios/igae/es-ES/Contabilidad/ContabilidadPublica/CPE/EjecucionPresupuestaria/Documents/ORGANISMOS%2008.%202026.pdf
https://www.aei.gob.es/en/about-aei/plans-aei/Budget
https://www.boe.es/eli/es/rd/2007/12/21/1730/con
https://www.xunta.gal/dog/Publicados/2012/20120127/AnuncioCA04-230112-11332_es.html
https://www.xunta.gal/dog/Publicados/2025/20251231/AnuncioC3B0-231225-0001_es.html
https://boe.es/buscar/doc.php?id=BOE-A-2023-1605
https://www.boe.es/eli/es-cm/l/2020/07/10/4</t>
        </is>
      </c>
      <c r="Z34" s="10" t="inlineStr">
        <is>
          <t>https://www.boe.es/eli/es/rd/2007/12/21/1730/con
https://www.igae.pap.hacienda.gob.es/sitios/igae/es-ES/Contabilidad/ContabilidadPublica/CPE/EjecucionPresupuestaria/Documents/ORGANISMOS%2008.%202026.pdf</t>
        </is>
      </c>
      <c r="AA34" s="12" t="n"/>
      <c r="AB34" s="10" t="n"/>
      <c r="AC34" s="10" t="n"/>
      <c r="AD34" s="10" t="n"/>
      <c r="AE34" s="13" t="inlineStr">
        <is>
          <t>https://files.instinct.com/q91pr53q4umo-entidades-publicas-poder-y-presupuesto</t>
        </is>
      </c>
      <c r="AF34" s="10" t="inlineStr">
        <is>
          <t>12/10/2026</t>
        </is>
      </c>
      <c r="AG34" s="10" t="n"/>
      <c r="AH34" s="10" t="n"/>
      <c r="AI34" s="10" t="inlineStr">
        <is>
          <t>Personas realmente ocupadas; no equiparar vocales, puestos RPT o apoyo ministerial con plantilla</t>
        </is>
      </c>
      <c r="AJ34" s="10" t="inlineStr">
        <is>
          <t>Pendiente: sin cifra de personal ocupado verificada en el conjunto actual</t>
        </is>
      </c>
      <c r="AK34" s="10" t="n"/>
      <c r="AL34" s="12" t="n">
        <v>614.97</v>
      </c>
      <c r="AM34" s="10" t="n">
        <v>2026</v>
      </c>
      <c r="AN34" s="10" t="inlineStr">
        <is>
          <t>Capítulo 1: crédito TOTAL actualizado IGAE, corte 31/08/2026</t>
        </is>
      </c>
      <c r="AO34" s="10" t="inlineStr">
        <is>
          <t>Crédito autorizado, no gasto realizado ni solo salarios</t>
        </is>
      </c>
      <c r="AP34" s="10" t="inlineStr">
        <is>
          <t>https://www.igae.pap.hacienda.gob.es/sitios/igae/es-ES/Contabilidad/ContabilidadPublica/CPE/EjecucionPresupuestaria/Documents/ORGANISMOS%2008.%202026.pdf</t>
        </is>
      </c>
      <c r="AQ34" s="12" t="n">
        <v>407.367</v>
      </c>
      <c r="AR34" s="10" t="n">
        <v>2026</v>
      </c>
      <c r="AS34" s="10" t="inlineStr">
        <is>
          <t>Hasta 31/08/2026:8 meses, NO año completo</t>
        </is>
      </c>
      <c r="AT34" s="10" t="inlineStr">
        <is>
          <t>Capítulo 1: obligaciones reconocidas; incluye costes de personal, no desglose salarial puro</t>
        </is>
      </c>
      <c r="AU34" s="10" t="inlineStr">
        <is>
          <t>https://www.igae.pap.hacienda.gob.es/sitios/igae/es-ES/Contabilidad/ContabilidadPublica/CPE/EjecucionPresupuestaria/Documents/ORGANISMOS%2008.%202026.pdf</t>
        </is>
      </c>
      <c r="AV34" s="10" t="inlineStr">
        <is>
          <t>Fuente primaria cotejada contra fila y unidad milesEUR; no estimación</t>
        </is>
      </c>
      <c r="AW34" s="10" t="inlineStr">
        <is>
          <t>Crédito y gasto de personal individual verificados; plantilla ocupada solo si hay cifra y fecha independiente</t>
        </is>
      </c>
      <c r="AX34" s="14" t="n"/>
      <c r="AY34" s="14" t="n"/>
      <c r="AZ34" s="14" t="n"/>
      <c r="BA34" s="14" t="n"/>
      <c r="BB34" s="14" t="n"/>
      <c r="BC34" s="10" t="inlineStr">
        <is>
          <t>Revisado: CSIC</t>
        </is>
      </c>
      <c r="BD34" s="10" t="inlineStr">
        <is>
          <t>Asesoramiento científico; ComitéCientífico informes internos no aprobación general de leyes.</t>
        </is>
      </c>
      <c r="BE34" s="10" t="inlineStr">
        <is>
          <t>No consentimiento favorable para leyes establecido en funciones revisadas.</t>
        </is>
      </c>
      <c r="BF34" s="10" t="inlineStr">
        <is>
          <t>No veto legislativo identificado en estas cláusulas; no pretende descartar obligaciones sectoriales en otras normas.</t>
        </is>
      </c>
      <c r="BG34" s="10" t="inlineStr">
        <is>
          <t>RD1730/2007 art5.1j</t>
        </is>
      </c>
      <c r="BH34" s="10" t="inlineStr">
        <is>
          <t>https://www.boe.es/eli/es/rd/2007/12/21/1730/con</t>
        </is>
      </c>
      <c r="BI34" s="12" t="n">
        <v>407.365</v>
      </c>
      <c r="BJ34" s="12" t="n">
        <v>553.245</v>
      </c>
      <c r="BK34" s="12" t="n">
        <v>359.462</v>
      </c>
      <c r="BL34" s="12" t="n"/>
      <c r="BM34" s="10" t="n"/>
      <c r="BN34" s="10" t="inlineStr">
        <is>
          <t>IGAE: columnas 2026 crédito / obligaciones / pagos;2025 crédito y obligaciones al mismo 31/08. No comparar 8 meses con año completo. Capítulo 1 no equivale solo a sueldos. PlantillaRPT del lote no incorporada sin verificación adicional.</t>
        </is>
      </c>
      <c r="BO34" s="12" t="n">
        <v>563.009</v>
      </c>
      <c r="BP34" s="12" t="n">
        <v>558.043</v>
      </c>
      <c r="BQ34" s="12" t="n">
        <v>558.043</v>
      </c>
      <c r="BR34" s="12" t="inlineStr">
        <is>
          <t>2025: hasta31/12/2025, año completo</t>
        </is>
      </c>
      <c r="BS34" s="12" t="inlineStr">
        <is>
          <t>Capítulo1: gastos de personal; obligaciones reconocidas, no solo salarios</t>
        </is>
      </c>
      <c r="BT34" s="12" t="inlineStr">
        <is>
          <t>https://www.igae.pap.hacienda.gob.es/sitios/igae/es-ES/Contabilidad/ContabilidadPublica/CPE/EjecucionPresupuestaria/Documents/ORGANISMOS%2012.%202025.pdf</t>
        </is>
      </c>
      <c r="BU34" s="12" t="inlineStr">
        <is>
          <t>Fuente primaria cotejada: IGAE edición12.2025, tabla y unidad milesEUR. No confundir con comparativa2025 de edición08.2026. Crédito comparativo edición08.2026: 553.245M; crédito cierre12.2025: 563.009M. La diferencia no prueba por sí sola origen/cause de transferencia.</t>
        </is>
      </c>
      <c r="BV34" s="27" t="inlineStr">
        <is>
          <t>Útil</t>
        </is>
      </c>
      <c r="BW34" s="27" t="inlineStr">
        <is>
          <t>Mantener</t>
        </is>
      </c>
      <c r="BX34" s="27" t="inlineStr">
        <is>
          <t>Servicio público directo</t>
        </is>
      </c>
      <c r="BY34" s="12" t="n"/>
      <c r="BZ34" s="27" t="inlineStr">
        <is>
          <t>No</t>
        </is>
      </c>
      <c r="CA34" s="27" t="inlineStr">
        <is>
          <t>Acreditada</t>
        </is>
      </c>
      <c r="CB34" s="27" t="inlineStr">
        <is>
          <t>Investiga: unas 7.500 personas de su plantilla son científicos y otras 7.750 técnicos.</t>
        </is>
      </c>
      <c r="CC34" s="27" t="inlineStr">
        <is>
          <t>Aplicando el criterio del P100: Servicio directo</t>
        </is>
      </c>
      <c r="CD34" s="12" t="n"/>
      <c r="CE34" s="27" t="inlineStr">
        <is>
          <t>Investigación científica</t>
        </is>
      </c>
      <c r="CF34" s="12" t="n"/>
      <c r="CG34" s="12" t="n"/>
      <c r="CH34" s="29">
        <f>IF(AND(ISNUMBER(BP34),ISNUMBER(AG34),AG34&gt;0),BP34*1000000/AG34,"")</f>
        <v/>
      </c>
      <c r="CI34" s="12" t="n"/>
      <c r="CJ34" s="12" t="n"/>
      <c r="CK34" s="12" t="n"/>
      <c r="CL34" s="12" t="n"/>
      <c r="CM34" s="12" t="n"/>
      <c r="CN34" s="12" t="n"/>
      <c r="CO34" s="12" t="n"/>
      <c r="CP34" s="12" t="n"/>
      <c r="CQ34" s="12" t="n"/>
      <c r="CR34" s="12" t="n"/>
      <c r="CS34" s="12" t="n"/>
    </row>
    <row r="35">
      <c r="A35" s="10" t="n">
        <v>34</v>
      </c>
      <c r="B35" s="10" t="inlineStr">
        <is>
          <t>Estatal</t>
        </is>
      </c>
      <c r="C35" s="10" t="inlineStr">
        <is>
          <t>Estado</t>
        </is>
      </c>
      <c r="D35" s="10" t="inlineStr">
        <is>
          <t>Zapatero</t>
        </is>
      </c>
      <c r="E35" s="10" t="inlineStr">
        <is>
          <t>Agencia Estatal de Meteorología (AEMET)</t>
        </is>
      </c>
      <c r="F35" s="10" t="inlineStr">
        <is>
          <t>Transformación de organismo/servicio anterior, no origen de sus funciones</t>
        </is>
      </c>
      <c r="G35" s="10" t="inlineStr">
        <is>
          <t>2008-02-08</t>
        </is>
      </c>
      <c r="H35" s="10" t="inlineStr">
        <is>
          <t>RD 186/2008</t>
        </is>
      </c>
      <c r="I35" s="10" t="inlineStr">
        <is>
          <t>Servicios meteorológicos, vigilancia, avisos y observación.</t>
        </is>
      </c>
      <c r="J35" s="10" t="inlineStr">
        <is>
          <t>Juicio: actividad ejecutiva o técnica real y presupuesto propio. La transformación no prueba creación de funciones nuevas.</t>
        </is>
      </c>
      <c r="K35" s="11" t="n">
        <v>201.096</v>
      </c>
      <c r="L35" s="10" t="n">
        <v>2026</v>
      </c>
      <c r="M35" s="10" t="inlineStr">
        <is>
          <t>Crédito total actualizado</t>
        </is>
      </c>
      <c r="N35" s="10" t="inlineStr">
        <is>
          <t>31/08/2026</t>
        </is>
      </c>
      <c r="O35" s="10" t="inlineStr">
        <is>
          <t>Cifra propia verificada</t>
        </is>
      </c>
      <c r="P35" s="12" t="n">
        <v>133.758</v>
      </c>
      <c r="Q35" s="12" t="n">
        <v>67.33799999999999</v>
      </c>
      <c r="R35" s="10" t="inlineStr">
        <is>
          <t>Presupuesto propio, crédito inicial 2026 133,758 M EUR; modificaciones netas +67,338 M; crédito total 201,096 M al 31/08/2026. IGAE p.99, cifras publicadas en miles de euros, no gasto ejecutado ni dotación solo administrativa.</t>
        </is>
      </c>
      <c r="S35" s="10" t="inlineStr">
        <is>
          <t>31/08/2026, salvo indicación distinta</t>
        </is>
      </c>
      <c r="T35" s="10" t="inlineStr">
        <is>
          <t>Vigente; estado operativo no exhaustivamente auditado</t>
        </is>
      </c>
      <c r="U35" s="10" t="inlineStr">
        <is>
          <t>No se ha verificado el número actual de puestos ocupados ni la independencia práctica de su dirección.</t>
        </is>
      </c>
      <c r="V35" s="10" t="inlineStr">
        <is>
          <t>No se ha identificado relación en esta revisión (no certifica ausencia)</t>
        </is>
      </c>
      <c r="W35" s="10" t="n"/>
      <c r="X35" s="10" t="inlineStr">
        <is>
          <t>Revisión cualitativa del mandato y estado de las 95 fichas; no auditoría exhaustiva de funciones ni proyectos.</t>
        </is>
      </c>
      <c r="Y35" s="10" t="n"/>
      <c r="Z35" s="10" t="inlineStr">
        <is>
          <t>https://www.boe.es/eli/es/rd/2008/02/08/186/con
https://www.igae.pap.hacienda.gob.es/sitios/igae/es-ES/Contabilidad/ContabilidadPublica/CPE/EjecucionPresupuestaria/Documents/ORGANISMOS%2008.%202026.pdf</t>
        </is>
      </c>
      <c r="AA35" s="12" t="n"/>
      <c r="AB35" s="10" t="n"/>
      <c r="AC35" s="10" t="n"/>
      <c r="AD35" s="10" t="n"/>
      <c r="AE35" s="13" t="inlineStr">
        <is>
          <t>https://files.instinct.com/q91pr53q4umo-entidades-publicas-poder-y-presupuesto</t>
        </is>
      </c>
      <c r="AF35" s="10" t="inlineStr">
        <is>
          <t>12/10/2026</t>
        </is>
      </c>
      <c r="AG35" s="10" t="n"/>
      <c r="AH35" s="10" t="n"/>
      <c r="AI35" s="10" t="inlineStr">
        <is>
          <t>Personas realmente ocupadas; no equiparar vocales, puestos RPT o apoyo ministerial con plantilla</t>
        </is>
      </c>
      <c r="AJ35" s="10" t="inlineStr">
        <is>
          <t>Pendiente: sin cifra de personal ocupado verificada en el conjunto actual</t>
        </is>
      </c>
      <c r="AK35" s="10" t="n"/>
      <c r="AL35" s="12" t="n">
        <v>51.574</v>
      </c>
      <c r="AM35" s="10" t="n">
        <v>2026</v>
      </c>
      <c r="AN35" s="10" t="inlineStr">
        <is>
          <t>Capítulo 1: crédito TOTAL actualizado IGAE, corte 31/08/2026</t>
        </is>
      </c>
      <c r="AO35" s="10" t="inlineStr">
        <is>
          <t>Crédito autorizado, no gasto realizado ni solo salarios</t>
        </is>
      </c>
      <c r="AP35" s="10" t="inlineStr">
        <is>
          <t>https://www.igae.pap.hacienda.gob.es/sitios/igae/es-ES/Contabilidad/ContabilidadPublica/CPE/EjecucionPresupuestaria/Documents/ORGANISMOS%2008.%202026.pdf</t>
        </is>
      </c>
      <c r="AQ35" s="12" t="n">
        <v>30.707</v>
      </c>
      <c r="AR35" s="10" t="n">
        <v>2026</v>
      </c>
      <c r="AS35" s="10" t="inlineStr">
        <is>
          <t>Hasta 31/08/2026:8 meses, NO año completo</t>
        </is>
      </c>
      <c r="AT35" s="10" t="inlineStr">
        <is>
          <t>Capítulo 1: obligaciones reconocidas; incluye costes de personal, no desglose salarial puro</t>
        </is>
      </c>
      <c r="AU35" s="10" t="inlineStr">
        <is>
          <t>https://www.igae.pap.hacienda.gob.es/sitios/igae/es-ES/Contabilidad/ContabilidadPublica/CPE/EjecucionPresupuestaria/Documents/ORGANISMOS%2008.%202026.pdf</t>
        </is>
      </c>
      <c r="AV35" s="10" t="inlineStr">
        <is>
          <t>Fuente primaria cotejada contra fila y unidad milesEUR; no estimación</t>
        </is>
      </c>
      <c r="AW35" s="10" t="inlineStr">
        <is>
          <t>Crédito y gasto de personal individual verificados; plantilla ocupada solo si hay cifra y fecha independiente</t>
        </is>
      </c>
      <c r="AX35" s="14" t="n"/>
      <c r="AY35" s="14" t="n"/>
      <c r="AZ35" s="14" t="n"/>
      <c r="BA35" s="14" t="n"/>
      <c r="BB35" s="14" t="inlineStr">
        <is>
          <t>RPT laboral transparencia.gob.es parcialmente contada (62, PDF posiblemente truncado); RPT funcionario no contada</t>
        </is>
      </c>
      <c r="BC35" s="10" t="inlineStr">
        <is>
          <t>Revisado: AEMET</t>
        </is>
      </c>
      <c r="BD35" s="10" t="inlineStr">
        <is>
          <t>Asesoramiento técnico meteorológico; no informe general obligatorio de leyes en art8.</t>
        </is>
      </c>
      <c r="BE35" s="10" t="inlineStr">
        <is>
          <t>No consentimiento favorable para leyes establecido en funciones revisadas.</t>
        </is>
      </c>
      <c r="BF35" s="10" t="inlineStr">
        <is>
          <t>No veto legislativo identificado en estas cláusulas; no pretende descartar obligaciones sectoriales en otras normas.</t>
        </is>
      </c>
      <c r="BG35" s="10" t="inlineStr">
        <is>
          <t>RD186/2008 art8</t>
        </is>
      </c>
      <c r="BH35" s="10" t="inlineStr">
        <is>
          <t>https://www.boe.es/eli/es/rd/2008/02/08/186/con</t>
        </is>
      </c>
      <c r="BI35" s="12" t="n">
        <v>30.707</v>
      </c>
      <c r="BJ35" s="12" t="n">
        <v>43.832</v>
      </c>
      <c r="BK35" s="12" t="n">
        <v>28.13</v>
      </c>
      <c r="BL35" s="12" t="n">
        <v>43.24706</v>
      </c>
      <c r="BM35" s="10" t="inlineStr">
        <is>
          <t>gastos de personal (cap.1) crédito; 2026; https://www.aemet.es/documentos/es/conocenos/transparencia/economica-presupuestaria-estadistica/Presupuesto_AEMET_2026.pdf</t>
        </is>
      </c>
      <c r="BN35" s="10" t="inlineStr">
        <is>
          <t>IGAE: columnas 2026 crédito / obligaciones / pagos;2025 crédito y obligaciones al mismo 31/08. No comparar 8 meses con año completo. Capítulo 1 no equivale solo a sueldos. PlantillaRPT del lote no incorporada sin verificación adicional. AEMET conserva crédito inicial 43,24706M en columna alternativa; crédito total actualizado 51,574M. Diferentes bases, no contradicción aritmética ni sumar.</t>
        </is>
      </c>
      <c r="BO35" s="12" t="n">
        <v>45.864</v>
      </c>
      <c r="BP35" s="12" t="n">
        <v>45.141</v>
      </c>
      <c r="BQ35" s="12" t="n">
        <v>45.141</v>
      </c>
      <c r="BR35" s="12" t="inlineStr">
        <is>
          <t>2025: hasta31/12/2025, año completo</t>
        </is>
      </c>
      <c r="BS35" s="12" t="inlineStr">
        <is>
          <t>Capítulo1: gastos de personal; obligaciones reconocidas, no solo salarios</t>
        </is>
      </c>
      <c r="BT35" s="12" t="inlineStr">
        <is>
          <t>https://www.igae.pap.hacienda.gob.es/sitios/igae/es-ES/Contabilidad/ContabilidadPublica/CPE/EjecucionPresupuestaria/Documents/ORGANISMOS%2012.%202025.pdf</t>
        </is>
      </c>
      <c r="BU35" s="12" t="inlineStr">
        <is>
          <t>Fuente primaria cotejada: IGAE edición12.2025, tabla y unidad milesEUR. No confundir con comparativa2025 de edición08.2026. Crédito comparativo edición08.2026: 43.832M; crédito cierre12.2025: 45.864M. La diferencia no prueba por sí sola origen/cause de transferencia.</t>
        </is>
      </c>
      <c r="BV35" s="27" t="inlineStr">
        <is>
          <t>Útil</t>
        </is>
      </c>
      <c r="BW35" s="27" t="inlineStr">
        <is>
          <t>Mantener</t>
        </is>
      </c>
      <c r="BX35" s="27" t="inlineStr">
        <is>
          <t>Servicio público directo</t>
        </is>
      </c>
      <c r="BY35" s="12" t="n"/>
      <c r="BZ35" s="27" t="inlineStr">
        <is>
          <t>No</t>
        </is>
      </c>
      <c r="CA35" s="27" t="inlineStr">
        <is>
          <t>Acreditada</t>
        </is>
      </c>
      <c r="CB35" s="27" t="inlineStr">
        <is>
          <t>Predicción meteorológica y avisos; nadie más los presta.</t>
        </is>
      </c>
      <c r="CC35" s="27" t="inlineStr">
        <is>
          <t>Aplicando el criterio del P100: Servicio directo</t>
        </is>
      </c>
      <c r="CD35" s="12" t="n"/>
      <c r="CE35" s="27" t="inlineStr">
        <is>
          <t>Meteorología</t>
        </is>
      </c>
      <c r="CF35" s="12" t="n"/>
      <c r="CG35" s="12" t="n"/>
      <c r="CH35" s="29">
        <f>IF(AND(ISNUMBER(BP35),ISNUMBER(AG35),AG35&gt;0),BP35*1000000/AG35,"")</f>
        <v/>
      </c>
      <c r="CI35" s="12" t="n"/>
      <c r="CJ35" s="12" t="n"/>
      <c r="CK35" s="12" t="n"/>
      <c r="CL35" s="12" t="n"/>
      <c r="CM35" s="12" t="n"/>
      <c r="CN35" s="12" t="n"/>
      <c r="CO35" s="12" t="n"/>
      <c r="CP35" s="12" t="n"/>
      <c r="CQ35" s="12" t="n"/>
      <c r="CR35" s="12" t="n"/>
      <c r="CS35" s="12" t="n"/>
    </row>
    <row r="36">
      <c r="A36" s="10" t="n">
        <v>35</v>
      </c>
      <c r="B36" s="10" t="inlineStr">
        <is>
          <t>Estatal</t>
        </is>
      </c>
      <c r="C36" s="10" t="inlineStr">
        <is>
          <t>Estado</t>
        </is>
      </c>
      <c r="D36" s="10" t="inlineStr">
        <is>
          <t>Zapatero</t>
        </is>
      </c>
      <c r="E36" s="10" t="inlineStr">
        <is>
          <t>Agencia estatal Agencia Española de Medicamentos y Productos Sanitarios (AEMPS)</t>
        </is>
      </c>
      <c r="F36" s="10" t="inlineStr">
        <is>
          <t>Transformación de organismo/servicio anterior, no origen de sus funciones</t>
        </is>
      </c>
      <c r="G36" s="10" t="inlineStr">
        <is>
          <t>2011-09-16</t>
        </is>
      </c>
      <c r="H36" s="10" t="inlineStr">
        <is>
          <t>RD 1275/2011</t>
        </is>
      </c>
      <c r="I36" s="10" t="inlineStr">
        <is>
          <t>Autorizar, supervisar e inspeccionar medicamentos y productos sanitarios.</t>
        </is>
      </c>
      <c r="J36" s="10" t="inlineStr">
        <is>
          <t>Juicio: actividad ejecutiva o técnica real y presupuesto propio. La transformación no prueba creación de funciones nuevas.</t>
        </is>
      </c>
      <c r="K36" s="11" t="n">
        <v>95.355</v>
      </c>
      <c r="L36" s="10" t="n">
        <v>2026</v>
      </c>
      <c r="M36" s="10" t="inlineStr">
        <is>
          <t>Crédito total actualizado</t>
        </is>
      </c>
      <c r="N36" s="10" t="inlineStr">
        <is>
          <t>31/08/2026</t>
        </is>
      </c>
      <c r="O36" s="10" t="inlineStr">
        <is>
          <t>Cifra propia verificada</t>
        </is>
      </c>
      <c r="P36" s="12" t="n">
        <v>80.52500000000001</v>
      </c>
      <c r="Q36" s="12" t="n">
        <v>14.83</v>
      </c>
      <c r="R36" s="10" t="inlineStr">
        <is>
          <t>Presupuesto propio, crédito inicial 2026 80,525 M EUR; modificaciones netas +14,830 M; crédito total 95,355 M al 31/08/2026. IGAE p.99, cifras publicadas en miles de euros, no gasto ejecutado ni dotación solo administrativa.</t>
        </is>
      </c>
      <c r="S36" s="10" t="inlineStr">
        <is>
          <t>31/08/2026, salvo indicación distinta</t>
        </is>
      </c>
      <c r="T36" s="10" t="inlineStr">
        <is>
          <t>Vigente; estado operativo no exhaustivamente auditado</t>
        </is>
      </c>
      <c r="U36" s="10" t="inlineStr">
        <is>
          <t>No se ha verificado el número actual de puestos ocupados ni la independencia práctica de su dirección.</t>
        </is>
      </c>
      <c r="V36" s="10" t="inlineStr">
        <is>
          <t>No se ha identificado relación en esta revisión (no certifica ausencia)</t>
        </is>
      </c>
      <c r="W36" s="10" t="n"/>
      <c r="X36" s="10" t="inlineStr">
        <is>
          <t>Revisión cualitativa del mandato y estado de las 95 fichas; no auditoría exhaustiva de funciones ni proyectos.</t>
        </is>
      </c>
      <c r="Y36" s="10" t="n"/>
      <c r="Z36" s="10" t="inlineStr">
        <is>
          <t>https://www.boe.es/eli/es/rd/2011/09/16/1275
https://www.igae.pap.hacienda.gob.es/sitios/igae/es-ES/Contabilidad/ContabilidadPublica/CPE/EjecucionPresupuestaria/Documents/ORGANISMOS%2008.%202026.pdf</t>
        </is>
      </c>
      <c r="AA36" s="12" t="n"/>
      <c r="AB36" s="10" t="n"/>
      <c r="AC36" s="10" t="n"/>
      <c r="AD36" s="10" t="n"/>
      <c r="AE36" s="13" t="inlineStr">
        <is>
          <t>https://files.instinct.com/q91pr53q4umo-entidades-publicas-poder-y-presupuesto</t>
        </is>
      </c>
      <c r="AF36" s="10" t="inlineStr">
        <is>
          <t>12/10/2026</t>
        </is>
      </c>
      <c r="AG36" s="10" t="n"/>
      <c r="AH36" s="10" t="n"/>
      <c r="AI36" s="10" t="inlineStr">
        <is>
          <t>Personas realmente ocupadas; no equiparar vocales, puestos RPT o apoyo ministerial con plantilla</t>
        </is>
      </c>
      <c r="AJ36" s="10" t="inlineStr">
        <is>
          <t>Pendiente: sin cifra de personal ocupado verificada en el conjunto actual</t>
        </is>
      </c>
      <c r="AK36" s="10" t="n"/>
      <c r="AL36" s="12" t="n">
        <v>39.13</v>
      </c>
      <c r="AM36" s="10" t="n">
        <v>2026</v>
      </c>
      <c r="AN36" s="10" t="inlineStr">
        <is>
          <t>Capítulo 1: crédito TOTAL actualizado IGAE, corte 31/08/2026</t>
        </is>
      </c>
      <c r="AO36" s="10" t="inlineStr">
        <is>
          <t>Crédito autorizado, no gasto realizado ni solo salarios</t>
        </is>
      </c>
      <c r="AP36" s="10" t="inlineStr">
        <is>
          <t>https://www.igae.pap.hacienda.gob.es/sitios/igae/es-ES/Contabilidad/ContabilidadPublica/CPE/EjecucionPresupuestaria/Documents/ORGANISMOS%2008.%202026.pdf</t>
        </is>
      </c>
      <c r="AQ36" s="12" t="n">
        <v>21.351</v>
      </c>
      <c r="AR36" s="10" t="n">
        <v>2026</v>
      </c>
      <c r="AS36" s="10" t="inlineStr">
        <is>
          <t>Hasta 31/08/2026:8 meses, NO año completo</t>
        </is>
      </c>
      <c r="AT36" s="10" t="inlineStr">
        <is>
          <t>Capítulo 1: obligaciones reconocidas; incluye costes de personal, no desglose salarial puro</t>
        </is>
      </c>
      <c r="AU36" s="10" t="inlineStr">
        <is>
          <t>https://www.igae.pap.hacienda.gob.es/sitios/igae/es-ES/Contabilidad/ContabilidadPublica/CPE/EjecucionPresupuestaria/Documents/ORGANISMOS%2008.%202026.pdf</t>
        </is>
      </c>
      <c r="AV36" s="10" t="inlineStr">
        <is>
          <t>Fuente primaria cotejada contra fila y unidad milesEUR; no estimación</t>
        </is>
      </c>
      <c r="AW36" s="10" t="inlineStr">
        <is>
          <t>Crédito y gasto de personal individual verificados; plantilla ocupada solo si hay cifra y fecha independiente</t>
        </is>
      </c>
      <c r="AX36" s="14" t="n"/>
      <c r="AY36" s="14" t="n"/>
      <c r="AZ36" s="14" t="n"/>
      <c r="BA36" s="14" t="n"/>
      <c r="BB36" s="14" t="n"/>
      <c r="BC36" s="10" t="inlineStr">
        <is>
          <t>Revisado: AEMPS propuestas normativas</t>
        </is>
      </c>
      <c r="BD36" s="10" t="inlineStr">
        <is>
          <t>Art7.38: propone proyectos de disposiciones generales, directrices/circulares; no consentimiento general a leyes.</t>
        </is>
      </c>
      <c r="BE36" s="10" t="inlineStr">
        <is>
          <t>No se exige consentimiento favorable ni carácter vinculante del informe en la cláusula citada; no es veto.</t>
        </is>
      </c>
      <c r="BF36" s="10" t="inlineStr">
        <is>
          <t>Regulación técnica y autorizaciónmedicamentos no equivalen a veto parlamentario.</t>
        </is>
      </c>
      <c r="BG36" s="10" t="inlineStr">
        <is>
          <t>RD1275/2011 art7.38</t>
        </is>
      </c>
      <c r="BH36" s="10" t="inlineStr">
        <is>
          <t>https://www.boe.es/eli/es/rd/2011/09/16/1275</t>
        </is>
      </c>
      <c r="BI36" s="12" t="n">
        <v>21.351</v>
      </c>
      <c r="BJ36" s="12" t="n">
        <v>35.426</v>
      </c>
      <c r="BK36" s="12" t="n">
        <v>21.179</v>
      </c>
      <c r="BL36" s="12" t="n"/>
      <c r="BM36" s="10" t="n"/>
      <c r="BN36" s="10" t="inlineStr">
        <is>
          <t>IGAE: columnas 2026 crédito / obligaciones / pagos;2025 crédito y obligaciones al mismo 31/08. No comparar 8 meses con año completo. Capítulo 1 no equivale solo a sueldos. PlantillaRPT del lote no incorporada sin verificación adicional.</t>
        </is>
      </c>
      <c r="BO36" s="12" t="n">
        <v>35.426</v>
      </c>
      <c r="BP36" s="12" t="n">
        <v>34.053</v>
      </c>
      <c r="BQ36" s="12" t="n">
        <v>34.053</v>
      </c>
      <c r="BR36" s="12" t="inlineStr">
        <is>
          <t>2025: hasta31/12/2025, año completo</t>
        </is>
      </c>
      <c r="BS36" s="12" t="inlineStr">
        <is>
          <t>Capítulo1: gastos de personal; obligaciones reconocidas, no solo salarios</t>
        </is>
      </c>
      <c r="BT36" s="12" t="inlineStr">
        <is>
          <t>https://www.igae.pap.hacienda.gob.es/sitios/igae/es-ES/Contabilidad/ContabilidadPublica/CPE/EjecucionPresupuestaria/Documents/ORGANISMOS%2012.%202025.pdf</t>
        </is>
      </c>
      <c r="BU36" s="12" t="inlineStr">
        <is>
          <t>Fuente primaria cotejada: IGAE edición12.2025, tabla y unidad milesEUR. No confundir con comparativa2025 de edición08.2026.</t>
        </is>
      </c>
      <c r="BV36" s="27" t="inlineStr">
        <is>
          <t>Útil</t>
        </is>
      </c>
      <c r="BW36" s="27" t="inlineStr">
        <is>
          <t>Mantener</t>
        </is>
      </c>
      <c r="BX36" s="27" t="inlineStr">
        <is>
          <t>Regulación o inspección de terceros</t>
        </is>
      </c>
      <c r="BY36" s="12" t="n"/>
      <c r="BZ36" s="27" t="inlineStr">
        <is>
          <t>Sí: la normativa farmacéutica de la UE exige una autoridad nacional competente</t>
        </is>
      </c>
      <c r="CA36" s="27" t="inlineStr">
        <is>
          <t>Acreditada</t>
        </is>
      </c>
      <c r="CB36" s="27" t="inlineStr">
        <is>
          <t>Autoriza e inspecciona medicamentos y productos sanitarios.</t>
        </is>
      </c>
      <c r="CC36" s="27" t="inlineStr">
        <is>
          <t>Aplicando el criterio del P100: Costes del Estado 9 (función técnica; exigida por la UE)</t>
        </is>
      </c>
      <c r="CD36" s="12" t="n"/>
      <c r="CE36" s="27" t="inlineStr">
        <is>
          <t>Medicamentos</t>
        </is>
      </c>
      <c r="CF36" s="12" t="n"/>
      <c r="CG36" s="12" t="n"/>
      <c r="CH36" s="29">
        <f>IF(AND(ISNUMBER(BP36),ISNUMBER(AG36),AG36&gt;0),BP36*1000000/AG36,"")</f>
        <v/>
      </c>
      <c r="CI36" s="12" t="n"/>
      <c r="CJ36" s="12" t="n"/>
      <c r="CK36" s="12" t="n"/>
      <c r="CL36" s="12" t="n"/>
      <c r="CM36" s="12" t="n"/>
      <c r="CN36" s="12" t="n"/>
      <c r="CO36" s="12" t="n"/>
      <c r="CP36" s="12" t="n"/>
      <c r="CQ36" s="12" t="n"/>
      <c r="CR36" s="12" t="n"/>
      <c r="CS36" s="12" t="n"/>
    </row>
    <row r="37">
      <c r="A37" s="10" t="n">
        <v>36</v>
      </c>
      <c r="B37" s="10" t="inlineStr">
        <is>
          <t>Estatal</t>
        </is>
      </c>
      <c r="C37" s="10" t="inlineStr">
        <is>
          <t>Estado</t>
        </is>
      </c>
      <c r="D37" s="10" t="inlineStr">
        <is>
          <t>Zapatero</t>
        </is>
      </c>
      <c r="E37" s="10" t="inlineStr">
        <is>
          <t>Instituto de Vivienda, Infraestructura y Equipamiento de la Defensa (INVIED)</t>
        </is>
      </c>
      <c r="F37" s="10" t="inlineStr">
        <is>
          <t>Fusión y reordenación de gestión inmobiliaria de Defensa</t>
        </is>
      </c>
      <c r="G37" s="10" t="inlineStr">
        <is>
          <t>2010-10-15</t>
        </is>
      </c>
      <c r="H37" s="10" t="inlineStr">
        <is>
          <t>RD 1286/2010</t>
        </is>
      </c>
      <c r="I37" s="10" t="inlineStr">
        <is>
          <t>Gestionar vivienda, inmuebles, infraestructuras y equipamiento de Defensa.</t>
        </is>
      </c>
      <c r="J37" s="10" t="inlineStr">
        <is>
          <t>Juicio: poder patrimonial y contractual real, no observatorio.</t>
        </is>
      </c>
      <c r="K37" s="11" t="n">
        <v>330.608</v>
      </c>
      <c r="L37" s="10" t="n">
        <v>2026</v>
      </c>
      <c r="M37" s="10" t="inlineStr">
        <is>
          <t>Crédito total actualizado</t>
        </is>
      </c>
      <c r="N37" s="10" t="inlineStr">
        <is>
          <t>31/08/2026</t>
        </is>
      </c>
      <c r="O37" s="10" t="inlineStr">
        <is>
          <t>Cifra propia verificada</t>
        </is>
      </c>
      <c r="P37" s="12" t="n">
        <v>255.108</v>
      </c>
      <c r="Q37" s="12" t="n">
        <v>75.5</v>
      </c>
      <c r="R37" s="10" t="inlineStr">
        <is>
          <t>Presupuesto propio, crédito inicial 2026 255,108 M EUR; modificaciones netas +75,500 M; crédito total 330,608 M al 31/08/2026. IGAE p.42, cifras publicadas en miles de euros, no gasto ejecutado ni dotación solo administrativa.</t>
        </is>
      </c>
      <c r="S37" s="10" t="inlineStr">
        <is>
          <t>31/08/2026, salvo indicación distinta</t>
        </is>
      </c>
      <c r="T37" s="10" t="inlineStr">
        <is>
          <t>Vigente; estado operativo no exhaustivamente auditado</t>
        </is>
      </c>
      <c r="U37" s="30" t="inlineStr">
        <is>
          <t>Plantilla ocupada: ver columna de personal (EPSAP enero 2026 o fuente indicada); no se ha verificado la independencia práctica de su dirección.</t>
        </is>
      </c>
      <c r="V37" s="10" t="inlineStr">
        <is>
          <t>No se ha identificado relación en esta revisión (no certifica ausencia)</t>
        </is>
      </c>
      <c r="W37" s="10" t="n"/>
      <c r="X37" s="10" t="inlineStr">
        <is>
          <t>Revisión cualitativa del mandato y estado de las 95 fichas; no auditoría exhaustiva de funciones ni proyectos.</t>
        </is>
      </c>
      <c r="Y37" s="10" t="n"/>
      <c r="Z37" s="10" t="inlineStr">
        <is>
          <t>https://www.boe.es/diario_boe/txt.php?id=BOE-A-2010-16133
https://www.igae.pap.hacienda.gob.es/sitios/igae/es-ES/Contabilidad/ContabilidadPublica/CPE/EjecucionPresupuestaria/Documents/ORGANISMOS%2008.%202026.pdf</t>
        </is>
      </c>
      <c r="AA37" s="12" t="n"/>
      <c r="AB37" s="10" t="n"/>
      <c r="AC37" s="10" t="n"/>
      <c r="AD37" s="10" t="n"/>
      <c r="AE37" s="13" t="inlineStr">
        <is>
          <t>https://files.instinct.com/q91pr53q4umo-entidades-publicas-poder-y-presupuesto</t>
        </is>
      </c>
      <c r="AF37" s="10" t="inlineStr">
        <is>
          <t>12/10/2026</t>
        </is>
      </c>
      <c r="AG37" s="10" t="n">
        <v>197</v>
      </c>
      <c r="AH37" s="10" t="inlineStr">
        <is>
          <t>2026-06-30</t>
        </is>
      </c>
      <c r="AI37" s="10" t="inlineStr">
        <is>
          <t>77 funcionarios + 29 laborales + 91 militares; cobertura 58,1%</t>
        </is>
      </c>
      <c r="AJ37" s="10" t="inlineStr">
        <is>
          <t>Cifra de personal publicada en fuente primaria; fecha indicada, no inferir vigencia posterior</t>
        </is>
      </c>
      <c r="AK37" s="10" t="inlineStr">
        <is>
          <t>https://www.defensa.gob.es/invied/13-transparencia/Informacion_Institucional/Plantilla.html</t>
        </is>
      </c>
      <c r="AL37" s="12" t="n">
        <v>14.568</v>
      </c>
      <c r="AM37" s="10" t="n">
        <v>2026</v>
      </c>
      <c r="AN37" s="10" t="inlineStr">
        <is>
          <t>Capítulo 1: crédito TOTAL actualizado IGAE, corte 31/08/2026</t>
        </is>
      </c>
      <c r="AO37" s="10" t="inlineStr">
        <is>
          <t>Crédito autorizado, no gasto realizado ni solo salarios</t>
        </is>
      </c>
      <c r="AP37" s="10" t="inlineStr">
        <is>
          <t>https://www.igae.pap.hacienda.gob.es/sitios/igae/es-ES/Contabilidad/ContabilidadPublica/CPE/EjecucionPresupuestaria/Documents/ORGANISMOS%2008.%202026.pdf</t>
        </is>
      </c>
      <c r="AQ37" s="12" t="n">
        <v>7.146</v>
      </c>
      <c r="AR37" s="10" t="n">
        <v>2026</v>
      </c>
      <c r="AS37" s="10" t="inlineStr">
        <is>
          <t>Hasta 31/08/2026:8 meses, NO año completo</t>
        </is>
      </c>
      <c r="AT37" s="10" t="inlineStr">
        <is>
          <t>Capítulo 1: obligaciones reconocidas; incluye costes de personal, no desglose salarial puro</t>
        </is>
      </c>
      <c r="AU37" s="10" t="inlineStr">
        <is>
          <t>https://www.igae.pap.hacienda.gob.es/sitios/igae/es-ES/Contabilidad/ContabilidadPublica/CPE/EjecucionPresupuestaria/Documents/ORGANISMOS%2008.%202026.pdf</t>
        </is>
      </c>
      <c r="AV37" s="10" t="inlineStr">
        <is>
          <t>Fuente primaria cotejada contra fila y unidad milesEUR; no estimación</t>
        </is>
      </c>
      <c r="AW37" s="10" t="inlineStr">
        <is>
          <t>Crédito y gasto de personal individual verificados; plantilla ocupada solo si hay cifra y fecha independiente</t>
        </is>
      </c>
      <c r="AX37" s="14" t="n">
        <v>339</v>
      </c>
      <c r="AY37" s="14" t="inlineStr">
        <is>
          <t>2026-06-30</t>
        </is>
      </c>
      <c r="AZ37" s="14" t="inlineStr">
        <is>
          <t>puestos RPT (civil funcionario+laboral y militar)</t>
        </is>
      </c>
      <c r="BA37" s="14" t="inlineStr">
        <is>
          <t>https://www.defensa.gob.es/invied/13-transparencia/Informacion_Institucional/Plantilla.html</t>
        </is>
      </c>
      <c r="BB37" s="14" t="n"/>
      <c r="BC37" s="10" t="inlineStr">
        <is>
          <t>Revisado: INVIED: informes urbanísticos y técnicos</t>
        </is>
      </c>
      <c r="BD37" s="10" t="inlineStr">
        <is>
          <t>Informes técnicos de instrumentos territoriales/urbanísticos y planes infraestructura; no consentimiento general a leyes.</t>
        </is>
      </c>
      <c r="BE37" s="10" t="inlineStr">
        <is>
          <t>No consentimiento favorable ni veto legislativo establecido en las cláusulas revisadas.</t>
        </is>
      </c>
      <c r="BF37" s="10" t="inlineStr">
        <is>
          <t>Revisión limitada a las atribuciones citadas: no descarta trámites sectoriales en otras normas.</t>
        </is>
      </c>
      <c r="BG37" s="10" t="inlineStr">
        <is>
          <t>RD1286/2010 arts7m,n;16.5e</t>
        </is>
      </c>
      <c r="BH37" s="10" t="inlineStr">
        <is>
          <t>https://www.boe.es/diario_boe/txt.php?id=BOE-A-2010-16133</t>
        </is>
      </c>
      <c r="BI37" s="12" t="n">
        <v>7.146</v>
      </c>
      <c r="BJ37" s="12" t="n">
        <v>14.568</v>
      </c>
      <c r="BK37" s="12" t="n">
        <v>7.075</v>
      </c>
      <c r="BL37" s="12" t="n"/>
      <c r="BM37" s="10" t="n"/>
      <c r="BN37" s="10" t="inlineStr">
        <is>
          <t>IGAE: columnas 2026 crédito / obligaciones / pagos;2025 crédito y obligaciones al mismo 31/08. No comparar 8 meses con año completo. Capítulo 1 no equivale solo a sueldos. PlantillaRPT del lote no incorporada sin verificación adicional.</t>
        </is>
      </c>
      <c r="BO37" s="12" t="n">
        <v>14.784</v>
      </c>
      <c r="BP37" s="12" t="n">
        <v>11.659</v>
      </c>
      <c r="BQ37" s="12" t="n">
        <v>11.659</v>
      </c>
      <c r="BR37" s="12" t="inlineStr">
        <is>
          <t>2025: hasta31/12/2025, año completo</t>
        </is>
      </c>
      <c r="BS37" s="12" t="inlineStr">
        <is>
          <t>Capítulo1: gastos de personal; obligaciones reconocidas, no solo salarios</t>
        </is>
      </c>
      <c r="BT37" s="12" t="inlineStr">
        <is>
          <t>https://www.igae.pap.hacienda.gob.es/sitios/igae/es-ES/Contabilidad/ContabilidadPublica/CPE/EjecucionPresupuestaria/Documents/ORGANISMOS%2012.%202025.pdf</t>
        </is>
      </c>
      <c r="BU37" s="12" t="inlineStr">
        <is>
          <t>Fuente primaria cotejada: IGAE edición12.2025, tabla y unidad milesEUR. No confundir con comparativa2025 de edición08.2026. Crédito comparativo edición08.2026: 14.568M; crédito cierre12.2025: 14.784M. La diferencia no prueba por sí sola origen/cause de transferencia.</t>
        </is>
      </c>
      <c r="BV37" s="27" t="inlineStr">
        <is>
          <t>Útil</t>
        </is>
      </c>
      <c r="BW37" s="27" t="inlineStr">
        <is>
          <t>Reformar</t>
        </is>
      </c>
      <c r="BX37" s="27" t="inlineStr">
        <is>
          <t>Servicio público directo</t>
        </is>
      </c>
      <c r="BY37" s="12" t="n"/>
      <c r="BZ37" s="27" t="inlineStr">
        <is>
          <t>No</t>
        </is>
      </c>
      <c r="CA37" s="27" t="inlineStr">
        <is>
          <t>Acreditada</t>
        </is>
      </c>
      <c r="CB37" s="27" t="inlineStr">
        <is>
          <t>Gestiona viviendas e inmuebles de Defensa; el P100 obliga a inventariar sus suelos y a vender o ceder lo que no tenga uso.</t>
        </is>
      </c>
      <c r="CC37" s="27" t="inlineStr">
        <is>
          <t>Explícito en el P100: Costes del Estado 10</t>
        </is>
      </c>
      <c r="CD37" s="12" t="n"/>
      <c r="CE37" s="27" t="inlineStr">
        <is>
          <t>Vivienda e infraestructura de Defensa</t>
        </is>
      </c>
      <c r="CF37" s="12" t="n"/>
      <c r="CG37" s="12" t="n"/>
      <c r="CH37" s="29">
        <f>IF(AND(ISNUMBER(BP37),ISNUMBER(AG37),AG37&gt;0),BP37*1000000/AG37,"")</f>
        <v/>
      </c>
      <c r="CI37" s="12" t="n"/>
      <c r="CJ37" s="12" t="n"/>
      <c r="CK37" s="12" t="n"/>
      <c r="CL37" s="12" t="n"/>
      <c r="CM37" s="12" t="n"/>
      <c r="CN37" s="12" t="n"/>
      <c r="CO37" s="12" t="n"/>
      <c r="CP37" s="12" t="n"/>
      <c r="CQ37" s="12" t="n"/>
      <c r="CR37" s="12" t="n"/>
      <c r="CS37" s="12" t="n"/>
    </row>
    <row r="38">
      <c r="A38" s="10" t="n">
        <v>37</v>
      </c>
      <c r="B38" s="10" t="inlineStr">
        <is>
          <t>Estatal</t>
        </is>
      </c>
      <c r="C38" s="10" t="inlineStr">
        <is>
          <t>Estado</t>
        </is>
      </c>
      <c r="D38" s="10" t="inlineStr">
        <is>
          <t>Zapatero</t>
        </is>
      </c>
      <c r="E38" s="10" t="inlineStr">
        <is>
          <t>Confederación Hidrográfica del Miño-Sil</t>
        </is>
      </c>
      <c r="F38" s="10" t="inlineStr">
        <is>
          <t>División de Confederación Hidrográfica del Norte, no sistema competencial nuevo</t>
        </is>
      </c>
      <c r="G38" s="10" t="inlineStr">
        <is>
          <t>2008-02-22</t>
        </is>
      </c>
      <c r="H38" s="10" t="inlineStr">
        <is>
          <t>RD 266/2008</t>
        </is>
      </c>
      <c r="I38" s="10" t="inlineStr">
        <is>
          <t>Administración y policía de aguas, concesiones, planificación e infraestructuras en demarcación.</t>
        </is>
      </c>
      <c r="J38" s="10" t="inlineStr">
        <is>
          <t>Juicio: autoridad administrativa real sobre aguas; distinguir ámbito competencial de primera creación de entidad.</t>
        </is>
      </c>
      <c r="K38" s="11" t="n">
        <v>52.232</v>
      </c>
      <c r="L38" s="10" t="n">
        <v>2026</v>
      </c>
      <c r="M38" s="10" t="inlineStr">
        <is>
          <t>Crédito total actualizado</t>
        </is>
      </c>
      <c r="N38" s="10" t="inlineStr">
        <is>
          <t>31/08/2026</t>
        </is>
      </c>
      <c r="O38" s="10" t="inlineStr">
        <is>
          <t>Cifra propia verificada</t>
        </is>
      </c>
      <c r="P38" s="12" t="n">
        <v>48.162</v>
      </c>
      <c r="Q38" s="12" t="n">
        <v>4.07</v>
      </c>
      <c r="R38" s="10" t="inlineStr">
        <is>
          <t>Presupuesto propio, crédito inicial 2026 48,162 M EUR; modificaciones netas +4,070 M; crédito total 52,232 M al 31/08/2026. IGAE p.43, cifras publicadas en miles de euros, no gasto ejecutado ni dotación solo administrativa.</t>
        </is>
      </c>
      <c r="S38" s="10" t="inlineStr">
        <is>
          <t>31/08/2026, salvo indicación distinta</t>
        </is>
      </c>
      <c r="T38" s="10" t="inlineStr">
        <is>
          <t>Vigente; estado operativo no exhaustivamente auditado</t>
        </is>
      </c>
      <c r="U38" s="10" t="inlineStr">
        <is>
          <t>No se ha verificado el número actual de puestos ocupados ni la independencia práctica de su dirección.</t>
        </is>
      </c>
      <c r="V38" s="10" t="inlineStr">
        <is>
          <t>Ámbito compartido; jurisdicciones distintas</t>
        </is>
      </c>
      <c r="W38" s="10" t="inlineStr">
        <is>
          <t>38, 84</t>
        </is>
      </c>
      <c r="X38" s="10" t="inlineStr">
        <is>
          <t>Políticas y gestión de aguas en demarcaciones y ámbito autonómico diferentes. No identidad de territorio ni duplicación presupuestaria demostrada.</t>
        </is>
      </c>
      <c r="Y38" s="10" t="inlineStr">
        <is>
          <t>https://www.boe.es/eli/es/rd/2008/02/22/266/con
https://www.igae.pap.hacienda.gob.es/sitios/igae/es-ES/Contabilidad/ContabilidadPublica/CPE/EjecucionPresupuestaria/Documents/ORGANISMOS%2008.%202026.pdf
https://www.boe.es/eli/es-cm/l/2009/12/17/6</t>
        </is>
      </c>
      <c r="Z38" s="10" t="inlineStr">
        <is>
          <t>https://www.boe.es/eli/es/rd/2008/02/22/266/con
https://www.igae.pap.hacienda.gob.es/sitios/igae/es-ES/Contabilidad/ContabilidadPublica/CPE/EjecucionPresupuestaria/Documents/ORGANISMOS%2008.%202026.pdf</t>
        </is>
      </c>
      <c r="AA38" s="12" t="n"/>
      <c r="AB38" s="10" t="n"/>
      <c r="AC38" s="10" t="n"/>
      <c r="AD38" s="10" t="n"/>
      <c r="AE38" s="13" t="inlineStr">
        <is>
          <t>https://files.instinct.com/q91pr53q4umo-entidades-publicas-poder-y-presupuesto</t>
        </is>
      </c>
      <c r="AF38" s="10" t="inlineStr">
        <is>
          <t>12/10/2026</t>
        </is>
      </c>
      <c r="AG38" s="10" t="n"/>
      <c r="AH38" s="10" t="n"/>
      <c r="AI38" s="10" t="inlineStr">
        <is>
          <t>Personas realmente ocupadas; no equiparar vocales, puestos RPT o apoyo ministerial con plantilla</t>
        </is>
      </c>
      <c r="AJ38" s="10" t="inlineStr">
        <is>
          <t>Pendiente: sin cifra de personal ocupado verificada en el conjunto actual</t>
        </is>
      </c>
      <c r="AK38" s="10" t="n"/>
      <c r="AL38" s="12" t="n">
        <v>10.459</v>
      </c>
      <c r="AM38" s="10" t="n">
        <v>2026</v>
      </c>
      <c r="AN38" s="10" t="inlineStr">
        <is>
          <t>Capítulo 1: crédito TOTAL actualizado IGAE, corte 31/08/2026</t>
        </is>
      </c>
      <c r="AO38" s="10" t="inlineStr">
        <is>
          <t>Crédito autorizado, no gasto realizado ni solo salarios</t>
        </is>
      </c>
      <c r="AP38" s="10" t="inlineStr">
        <is>
          <t>https://www.igae.pap.hacienda.gob.es/sitios/igae/es-ES/Contabilidad/ContabilidadPublica/CPE/EjecucionPresupuestaria/Documents/ORGANISMOS%2008.%202026.pdf</t>
        </is>
      </c>
      <c r="AQ38" s="12" t="n">
        <v>5.967</v>
      </c>
      <c r="AR38" s="10" t="n">
        <v>2026</v>
      </c>
      <c r="AS38" s="10" t="inlineStr">
        <is>
          <t>Hasta 31/08/2026:8 meses, NO año completo</t>
        </is>
      </c>
      <c r="AT38" s="10" t="inlineStr">
        <is>
          <t>Capítulo 1: obligaciones reconocidas; incluye costes de personal, no desglose salarial puro</t>
        </is>
      </c>
      <c r="AU38" s="10" t="inlineStr">
        <is>
          <t>https://www.igae.pap.hacienda.gob.es/sitios/igae/es-ES/Contabilidad/ContabilidadPublica/CPE/EjecucionPresupuestaria/Documents/ORGANISMOS%2008.%202026.pdf</t>
        </is>
      </c>
      <c r="AV38" s="10" t="inlineStr">
        <is>
          <t>Fuente primaria cotejada contra fila y unidad milesEUR; no estimación</t>
        </is>
      </c>
      <c r="AW38" s="10" t="inlineStr">
        <is>
          <t>Crédito y gasto de personal individual verificados; plantilla ocupada solo si hay cifra y fecha independiente</t>
        </is>
      </c>
      <c r="AX38" s="14" t="n"/>
      <c r="AY38" s="14" t="n"/>
      <c r="AZ38" s="14" t="n"/>
      <c r="BA38" s="14" t="n"/>
      <c r="BB38" s="14" t="n"/>
      <c r="BC38" s="10" t="inlineStr">
        <is>
          <t>Revisado: Confederación, informes previos planes y ordenanzas</t>
        </is>
      </c>
      <c r="BD38" s="10" t="inlineStr">
        <is>
          <t>Sí: actos/planes autonómicos y ordenanzas locales que afecten aguas o dominio públicohidráulico; nuevasdemandas requieren juicio suficienciarecursos. No todas lasleyes.</t>
        </is>
      </c>
      <c r="BE38" s="10" t="inlineStr">
        <is>
          <t>TRLA: silencio desfavorable. TRLS: determinante para memoriaambiental, apartarse exige motivaciónexpresa. No permiso general para ley.</t>
        </is>
      </c>
      <c r="BF38" s="10" t="inlineStr">
        <is>
          <t>Puede condicionar planificación/actos sectoriales. Efecto vinculante concreto requiere examinar recursos/procedimiento y jurisprudencia; no veto parlamentario.</t>
        </is>
      </c>
      <c r="BG38" s="10" t="inlineStr">
        <is>
          <t>TRLA RDL1/2001 art25.4; TRLS RDL7/2015 art22.3</t>
        </is>
      </c>
      <c r="BH38" s="10" t="inlineStr">
        <is>
          <t>https://boe.es/buscar/act.php?id=BOE-A-2001-14276&amp;p=20231228&amp;tn=0
https://www.boe.es/buscar/act.php?id=BOE-A-2015-11723</t>
        </is>
      </c>
      <c r="BI38" s="12" t="n">
        <v>5.967</v>
      </c>
      <c r="BJ38" s="12" t="n">
        <v>8.375</v>
      </c>
      <c r="BK38" s="12" t="n">
        <v>5.221</v>
      </c>
      <c r="BL38" s="12" t="n"/>
      <c r="BM38" s="10" t="n"/>
      <c r="BN38" s="10" t="inlineStr">
        <is>
          <t>IGAE: columnas 2026 crédito / obligaciones / pagos;2025 crédito y obligaciones al mismo 31/08. No comparar 8 meses con año completo. Capítulo 1 no equivale solo a sueldos. PlantillaRPT del lote no incorporada sin verificación adicional.</t>
        </is>
      </c>
      <c r="BO38" s="12" t="n">
        <v>8.784000000000001</v>
      </c>
      <c r="BP38" s="12" t="n">
        <v>8.561999999999999</v>
      </c>
      <c r="BQ38" s="12" t="n">
        <v>8.561999999999999</v>
      </c>
      <c r="BR38" s="12" t="inlineStr">
        <is>
          <t>2025: hasta31/12/2025, año completo</t>
        </is>
      </c>
      <c r="BS38" s="12" t="inlineStr">
        <is>
          <t>Capítulo1: gastos de personal; obligaciones reconocidas, no solo salarios</t>
        </is>
      </c>
      <c r="BT38" s="12" t="inlineStr">
        <is>
          <t>https://www.igae.pap.hacienda.gob.es/sitios/igae/es-ES/Contabilidad/ContabilidadPublica/CPE/EjecucionPresupuestaria/Documents/ORGANISMOS%2012.%202025.pdf</t>
        </is>
      </c>
      <c r="BU38" s="12" t="inlineStr">
        <is>
          <t>Fuente primaria cotejada: IGAE edición12.2025, tabla y unidad milesEUR. No confundir con comparativa2025 de edición08.2026. Crédito comparativo edición08.2026: 8.375M; crédito cierre12.2025: 8.784M. La diferencia no prueba por sí sola origen/cause de transferencia.</t>
        </is>
      </c>
      <c r="BV38" s="27" t="inlineStr">
        <is>
          <t>Útil</t>
        </is>
      </c>
      <c r="BW38" s="27" t="inlineStr">
        <is>
          <t>Mantener</t>
        </is>
      </c>
      <c r="BX38" s="27" t="inlineStr">
        <is>
          <t>Regulación o inspección de terceros</t>
        </is>
      </c>
      <c r="BY38" s="12" t="n"/>
      <c r="BZ38" s="27" t="inlineStr">
        <is>
          <t>No</t>
        </is>
      </c>
      <c r="CA38" s="27" t="inlineStr">
        <is>
          <t>Acreditada</t>
        </is>
      </c>
      <c r="CB38" s="27" t="inlineStr">
        <is>
          <t>Confederación hidrográfica: organismo autónomo de la AGE con personalidad propia, adscrito al ministerio de Medio Ambiente; gestiona la cuenca como pieza estatal, no una duplicidad autonómica. El inventario solo recoge Miño-Sil y Cantábrico (creadas/transformadas en el periodo); Ebro, Tajo, Duero, Guadalquivir, etc. no están en las 125 fichas. El P100 «Menos normas 12» limita el bloqueo de informes; no implica integrar ni suprimir la confederación.</t>
        </is>
      </c>
      <c r="CC38" s="27" t="inlineStr">
        <is>
          <t>Aplicando el criterio del P100: Servicio directo (organismo autónomo estatal de cuenca)</t>
        </is>
      </c>
      <c r="CD38" s="12" t="n"/>
      <c r="CE38" s="27" t="inlineStr">
        <is>
          <t>Agua (cuencas hidrográficas)</t>
        </is>
      </c>
      <c r="CF38" s="12" t="n"/>
      <c r="CG38" s="12" t="n"/>
      <c r="CH38" s="29">
        <f>IF(AND(ISNUMBER(BP38),ISNUMBER(AG38),AG38&gt;0),BP38*1000000/AG38,"")</f>
        <v/>
      </c>
      <c r="CI38" s="12" t="n"/>
      <c r="CJ38" s="12" t="n"/>
      <c r="CK38" s="12" t="n"/>
      <c r="CL38" s="12" t="n"/>
      <c r="CM38" s="12" t="n"/>
      <c r="CN38" s="12" t="n"/>
      <c r="CO38" s="12" t="n"/>
      <c r="CP38" s="12" t="n"/>
      <c r="CQ38" s="12" t="n"/>
      <c r="CR38" s="12" t="n"/>
      <c r="CS38" s="12" t="n"/>
    </row>
    <row r="39">
      <c r="A39" s="10" t="n">
        <v>38</v>
      </c>
      <c r="B39" s="10" t="inlineStr">
        <is>
          <t>Estatal</t>
        </is>
      </c>
      <c r="C39" s="10" t="inlineStr">
        <is>
          <t>Estado</t>
        </is>
      </c>
      <c r="D39" s="10" t="inlineStr">
        <is>
          <t>Zapatero</t>
        </is>
      </c>
      <c r="E39" s="10" t="inlineStr">
        <is>
          <t>Confederación Hidrográfica del Cantábrico</t>
        </is>
      </c>
      <c r="F39" s="10" t="inlineStr">
        <is>
          <t>División de Confederación Hidrográfica del Norte, no sistema competencial nuevo</t>
        </is>
      </c>
      <c r="G39" s="10" t="inlineStr">
        <is>
          <t>2008-02-22</t>
        </is>
      </c>
      <c r="H39" s="10" t="inlineStr">
        <is>
          <t>RD 266/2008</t>
        </is>
      </c>
      <c r="I39" s="10" t="inlineStr">
        <is>
          <t>Administración y policía de aguas, concesiones, planificación e infraestructuras en demarcación.</t>
        </is>
      </c>
      <c r="J39" s="10" t="inlineStr">
        <is>
          <t>Juicio: autoridad administrativa real sobre aguas; distinguir ámbito competencial de primera creación de entidad.</t>
        </is>
      </c>
      <c r="K39" s="11" t="n">
        <v>27.491</v>
      </c>
      <c r="L39" s="10" t="n">
        <v>2026</v>
      </c>
      <c r="M39" s="10" t="inlineStr">
        <is>
          <t>Crédito total actualizado</t>
        </is>
      </c>
      <c r="N39" s="10" t="inlineStr">
        <is>
          <t>31/08/2026</t>
        </is>
      </c>
      <c r="O39" s="10" t="inlineStr">
        <is>
          <t>Cifra propia verificada</t>
        </is>
      </c>
      <c r="P39" s="12" t="n">
        <v>25.386</v>
      </c>
      <c r="Q39" s="12" t="n">
        <v>2.105</v>
      </c>
      <c r="R39" s="10" t="inlineStr">
        <is>
          <t>Presupuesto propio, crédito inicial 2026 25,386 M EUR; modificaciones netas +2,105 M; crédito total 27,491 M al 31/08/2026. IGAE p.43, cifras publicadas en miles de euros, no gasto ejecutado ni dotación solo administrativa.</t>
        </is>
      </c>
      <c r="S39" s="10" t="inlineStr">
        <is>
          <t>31/08/2026, salvo indicación distinta</t>
        </is>
      </c>
      <c r="T39" s="10" t="inlineStr">
        <is>
          <t>Vigente; estado operativo no exhaustivamente auditado</t>
        </is>
      </c>
      <c r="U39" s="10" t="inlineStr">
        <is>
          <t>No se ha verificado el número actual de puestos ocupados ni la independencia práctica de su dirección.</t>
        </is>
      </c>
      <c r="V39" s="10" t="inlineStr">
        <is>
          <t>Ámbito compartido; jurisdicciones distintas</t>
        </is>
      </c>
      <c r="W39" s="10" t="inlineStr">
        <is>
          <t>37, 84</t>
        </is>
      </c>
      <c r="X39" s="10" t="inlineStr">
        <is>
          <t>Políticas y gestión de aguas en demarcaciones y ámbito autonómico diferentes. No identidad de territorio ni duplicación presupuestaria demostrada.</t>
        </is>
      </c>
      <c r="Y39" s="10" t="inlineStr">
        <is>
          <t>https://www.boe.es/eli/es/rd/2008/02/22/266/con
https://www.igae.pap.hacienda.gob.es/sitios/igae/es-ES/Contabilidad/ContabilidadPublica/CPE/EjecucionPresupuestaria/Documents/ORGANISMOS%2008.%202026.pdf
https://www.boe.es/eli/es-cm/l/2009/12/17/6</t>
        </is>
      </c>
      <c r="Z39" s="10" t="inlineStr">
        <is>
          <t>https://www.boe.es/eli/es/rd/2008/02/22/266/con
https://www.igae.pap.hacienda.gob.es/sitios/igae/es-ES/Contabilidad/ContabilidadPublica/CPE/EjecucionPresupuestaria/Documents/ORGANISMOS%2008.%202026.pdf</t>
        </is>
      </c>
      <c r="AA39" s="12" t="n"/>
      <c r="AB39" s="10" t="n"/>
      <c r="AC39" s="10" t="n"/>
      <c r="AD39" s="10" t="n"/>
      <c r="AE39" s="13" t="inlineStr">
        <is>
          <t>https://files.instinct.com/q91pr53q4umo-entidades-publicas-poder-y-presupuesto</t>
        </is>
      </c>
      <c r="AF39" s="10" t="inlineStr">
        <is>
          <t>12/10/2026</t>
        </is>
      </c>
      <c r="AG39" s="10" t="n"/>
      <c r="AH39" s="10" t="n"/>
      <c r="AI39" s="10" t="inlineStr">
        <is>
          <t>Personas realmente ocupadas; no equiparar vocales, puestos RPT o apoyo ministerial con plantilla</t>
        </is>
      </c>
      <c r="AJ39" s="10" t="inlineStr">
        <is>
          <t>Pendiente: sin cifra de personal ocupado verificada en el conjunto actual</t>
        </is>
      </c>
      <c r="AK39" s="10" t="n"/>
      <c r="AL39" s="12" t="n">
        <v>11.902</v>
      </c>
      <c r="AM39" s="10" t="n">
        <v>2026</v>
      </c>
      <c r="AN39" s="10" t="inlineStr">
        <is>
          <t>Capítulo 1: crédito TOTAL actualizado IGAE, corte 31/08/2026</t>
        </is>
      </c>
      <c r="AO39" s="10" t="inlineStr">
        <is>
          <t>Crédito autorizado, no gasto realizado ni solo salarios</t>
        </is>
      </c>
      <c r="AP39" s="10" t="inlineStr">
        <is>
          <t>https://www.igae.pap.hacienda.gob.es/sitios/igae/es-ES/Contabilidad/ContabilidadPublica/CPE/EjecucionPresupuestaria/Documents/ORGANISMOS%2008.%202026.pdf</t>
        </is>
      </c>
      <c r="AQ39" s="12" t="n">
        <v>7.322</v>
      </c>
      <c r="AR39" s="10" t="n">
        <v>2026</v>
      </c>
      <c r="AS39" s="10" t="inlineStr">
        <is>
          <t>Hasta 31/08/2026:8 meses, NO año completo</t>
        </is>
      </c>
      <c r="AT39" s="10" t="inlineStr">
        <is>
          <t>Capítulo 1: obligaciones reconocidas; incluye costes de personal, no desglose salarial puro</t>
        </is>
      </c>
      <c r="AU39" s="10" t="inlineStr">
        <is>
          <t>https://www.igae.pap.hacienda.gob.es/sitios/igae/es-ES/Contabilidad/ContabilidadPublica/CPE/EjecucionPresupuestaria/Documents/ORGANISMOS%2008.%202026.pdf</t>
        </is>
      </c>
      <c r="AV39" s="10" t="inlineStr">
        <is>
          <t>Fuente primaria cotejada contra fila y unidad milesEUR; no estimación</t>
        </is>
      </c>
      <c r="AW39" s="10" t="inlineStr">
        <is>
          <t>Crédito y gasto de personal individual verificados; plantilla ocupada solo si hay cifra y fecha independiente</t>
        </is>
      </c>
      <c r="AX39" s="14" t="n"/>
      <c r="AY39" s="14" t="n"/>
      <c r="AZ39" s="14" t="n"/>
      <c r="BA39" s="14" t="n"/>
      <c r="BB39" s="14" t="n"/>
      <c r="BC39" s="10" t="inlineStr">
        <is>
          <t>Revisado: Confederación, informes previos planes y ordenanzas</t>
        </is>
      </c>
      <c r="BD39" s="10" t="inlineStr">
        <is>
          <t>Sí: actos/planes autonómicos y ordenanzas locales que afecten aguas o dominio públicohidráulico; nuevasdemandas requieren juicio suficienciarecursos. No todas lasleyes.</t>
        </is>
      </c>
      <c r="BE39" s="10" t="inlineStr">
        <is>
          <t>TRLA: silencio desfavorable. TRLS: determinante para memoriaambiental, apartarse exige motivaciónexpresa. No permiso general para ley.</t>
        </is>
      </c>
      <c r="BF39" s="10" t="inlineStr">
        <is>
          <t>Puede condicionar planificación/actos sectoriales. Efecto vinculante concreto requiere examinar recursos/procedimiento y jurisprudencia; no veto parlamentario.</t>
        </is>
      </c>
      <c r="BG39" s="10" t="inlineStr">
        <is>
          <t>TRLA RDL1/2001 art25.4; TRLS RDL7/2015 art22.3</t>
        </is>
      </c>
      <c r="BH39" s="10" t="inlineStr">
        <is>
          <t>https://boe.es/buscar/act.php?id=BOE-A-2001-14276&amp;p=20231228&amp;tn=0
https://www.boe.es/buscar/act.php?id=BOE-A-2015-11723</t>
        </is>
      </c>
      <c r="BI39" s="12" t="n">
        <v>7.322</v>
      </c>
      <c r="BJ39" s="12" t="n">
        <v>10.987</v>
      </c>
      <c r="BK39" s="12" t="n">
        <v>6.867</v>
      </c>
      <c r="BL39" s="12" t="n"/>
      <c r="BM39" s="10" t="n"/>
      <c r="BN39" s="10" t="inlineStr">
        <is>
          <t>IGAE: columnas 2026 crédito / obligaciones / pagos;2025 crédito y obligaciones al mismo 31/08. No comparar 8 meses con año completo. Capítulo 1 no equivale solo a sueldos. PlantillaRPT del lote no incorporada sin verificación adicional.</t>
        </is>
      </c>
      <c r="BO39" s="12" t="n">
        <v>11.069</v>
      </c>
      <c r="BP39" s="12" t="n">
        <v>11.013</v>
      </c>
      <c r="BQ39" s="12" t="n">
        <v>11.013</v>
      </c>
      <c r="BR39" s="12" t="inlineStr">
        <is>
          <t>2025: hasta31/12/2025, año completo</t>
        </is>
      </c>
      <c r="BS39" s="12" t="inlineStr">
        <is>
          <t>Capítulo1: gastos de personal; obligaciones reconocidas, no solo salarios</t>
        </is>
      </c>
      <c r="BT39" s="12" t="inlineStr">
        <is>
          <t>https://www.igae.pap.hacienda.gob.es/sitios/igae/es-ES/Contabilidad/ContabilidadPublica/CPE/EjecucionPresupuestaria/Documents/ORGANISMOS%2012.%202025.pdf</t>
        </is>
      </c>
      <c r="BU39" s="12" t="inlineStr">
        <is>
          <t>Fuente primaria cotejada: IGAE edición12.2025, tabla y unidad milesEUR. No confundir con comparativa2025 de edición08.2026. Crédito comparativo edición08.2026: 10.987M; crédito cierre12.2025: 11.069M. La diferencia no prueba por sí sola origen/cause de transferencia.</t>
        </is>
      </c>
      <c r="BV39" s="27" t="inlineStr">
        <is>
          <t>Útil</t>
        </is>
      </c>
      <c r="BW39" s="27" t="inlineStr">
        <is>
          <t>Mantener</t>
        </is>
      </c>
      <c r="BX39" s="27" t="inlineStr">
        <is>
          <t>Regulación o inspección de terceros</t>
        </is>
      </c>
      <c r="BY39" s="12" t="n"/>
      <c r="BZ39" s="27" t="inlineStr">
        <is>
          <t>No</t>
        </is>
      </c>
      <c r="CA39" s="27" t="inlineStr">
        <is>
          <t>Acreditada</t>
        </is>
      </c>
      <c r="CB39" s="27" t="inlineStr">
        <is>
          <t>Confederación hidrográfica: organismo autónomo de la AGE con personalidad propia, adscrito al ministerio de Medio Ambiente; gestiona la cuenca como pieza estatal, no una duplicidad autonómica. El inventario solo recoge Miño-Sil y Cantábrico (creadas/transformadas en el periodo); Ebro, Tajo, Duero, Guadalquivir, etc. no están en las 125 fichas. El P100 «Menos normas 12» limita el bloqueo de informes; no implica integrar ni suprimir la confederación.</t>
        </is>
      </c>
      <c r="CC39" s="27" t="inlineStr">
        <is>
          <t>Aplicando el criterio del P100: Servicio directo (organismo autónomo estatal de cuenca)</t>
        </is>
      </c>
      <c r="CD39" s="12" t="n"/>
      <c r="CE39" s="27" t="inlineStr">
        <is>
          <t>Agua (cuencas hidrográficas)</t>
        </is>
      </c>
      <c r="CF39" s="12" t="n"/>
      <c r="CG39" s="12" t="n"/>
      <c r="CH39" s="29">
        <f>IF(AND(ISNUMBER(BP39),ISNUMBER(AG39),AG39&gt;0),BP39*1000000/AG39,"")</f>
        <v/>
      </c>
      <c r="CI39" s="12" t="n"/>
      <c r="CJ39" s="12" t="n"/>
      <c r="CK39" s="12" t="n"/>
      <c r="CL39" s="12" t="n"/>
      <c r="CM39" s="12" t="n"/>
      <c r="CN39" s="12" t="n"/>
      <c r="CO39" s="12" t="n"/>
      <c r="CP39" s="12" t="n"/>
      <c r="CQ39" s="12" t="n"/>
      <c r="CR39" s="12" t="n"/>
      <c r="CS39" s="12" t="n"/>
    </row>
    <row r="40">
      <c r="A40" s="10" t="n">
        <v>39</v>
      </c>
      <c r="B40" s="10" t="inlineStr">
        <is>
          <t>Estatal</t>
        </is>
      </c>
      <c r="C40" s="10" t="inlineStr">
        <is>
          <t>Estado</t>
        </is>
      </c>
      <c r="D40" s="10" t="inlineStr">
        <is>
          <t>Zapatero</t>
        </is>
      </c>
      <c r="E40" s="10" t="inlineStr">
        <is>
          <t>Organismo Autónomo Programas Educativos Europeos (OAPEE), hoy SEPIE</t>
        </is>
      </c>
      <c r="F40" s="10" t="inlineStr">
        <is>
          <t>Organismo nuevo; nombre posterior SEPIE</t>
        </is>
      </c>
      <c r="G40" s="10" t="inlineStr">
        <is>
          <t>2006-12-28 (ley); efectos 2007-01-01</t>
        </is>
      </c>
      <c r="H40" s="10" t="inlineStr">
        <is>
          <t>Creación Ley 42/2006, de 28 de diciembre, DA46, con efectos de 1/01/2007; estatuto RD 903/2007 de 6 de julio</t>
        </is>
      </c>
      <c r="I40" s="10" t="inlineStr">
        <is>
          <t>Gestionar programas europeos educativos y ayudas de movilidad.</t>
        </is>
      </c>
      <c r="J40" s="10" t="inlineStr">
        <is>
          <t>Juicio: capacidad administrativa de gestionar ayudas real; no regulador.</t>
        </is>
      </c>
      <c r="K40" s="11" t="n">
        <v>89.328</v>
      </c>
      <c r="L40" s="10" t="n">
        <v>2026</v>
      </c>
      <c r="M40" s="10" t="inlineStr">
        <is>
          <t>Crédito total actualizado</t>
        </is>
      </c>
      <c r="N40" s="10" t="inlineStr">
        <is>
          <t>31/08/2026</t>
        </is>
      </c>
      <c r="O40" s="10" t="inlineStr">
        <is>
          <t>Cifra propia verificada</t>
        </is>
      </c>
      <c r="P40" s="12" t="n">
        <v>53.994</v>
      </c>
      <c r="Q40" s="12" t="n">
        <v>35.334</v>
      </c>
      <c r="R40" s="10" t="inlineStr">
        <is>
          <t>Presupuesto propio, crédito inicial 2026 53,994 M EUR; modificaciones netas +35,334 M; crédito total 89,328 M al 31/08/2026. IGAE p.44, cifras publicadas en miles de euros, no gasto ejecutado ni dotación solo administrativa.</t>
        </is>
      </c>
      <c r="S40" s="10" t="inlineStr">
        <is>
          <t>31/08/2026, salvo indicación distinta</t>
        </is>
      </c>
      <c r="T40" s="10" t="inlineStr">
        <is>
          <t>Continuidad bajo SEPIE; no contar renombramiento como nueva creación.</t>
        </is>
      </c>
      <c r="U40" s="10" t="inlineStr">
        <is>
          <t>El presupuesto incluye actividad/ayudas, no solo costes de administración.</t>
        </is>
      </c>
      <c r="V40" s="10" t="inlineStr">
        <is>
          <t>No se ha identificado relación en esta revisión (no certifica ausencia)</t>
        </is>
      </c>
      <c r="W40" s="10" t="n"/>
      <c r="X40" s="10" t="inlineStr">
        <is>
          <t>Revisión cualitativa del mandato y estado de las 95 fichas; no auditoría exhaustiva de funciones ni proyectos.</t>
        </is>
      </c>
      <c r="Y40" s="10" t="n"/>
      <c r="Z40" s="10" t="inlineStr">
        <is>
          <t>https://www.boe.es/buscar/act.php?id=BOE-A-2007-13179
https://www.igae.pap.hacienda.gob.es/sitios/igae/es-ES/Contabilidad/ContabilidadPublica/CPE/EjecucionPresupuestaria/Documents/ORGANISMOS%2008.%202026.pdf
https://www.boe.es/eli/es/l/2006/12/28/42</t>
        </is>
      </c>
      <c r="AA40" s="12" t="n"/>
      <c r="AB40" s="10" t="n"/>
      <c r="AC40" s="10" t="n"/>
      <c r="AD40" s="10" t="n"/>
      <c r="AE40" s="13" t="inlineStr">
        <is>
          <t>https://files.instinct.com/q91pr53q4umo-entidades-publicas-poder-y-presupuesto</t>
        </is>
      </c>
      <c r="AF40" s="10" t="inlineStr">
        <is>
          <t>12/10/2026</t>
        </is>
      </c>
      <c r="AG40" s="10" t="n"/>
      <c r="AH40" s="10" t="n"/>
      <c r="AI40" s="10" t="inlineStr">
        <is>
          <t>Personas realmente ocupadas; no equiparar vocales, puestos RPT o apoyo ministerial con plantilla</t>
        </is>
      </c>
      <c r="AJ40" s="10" t="inlineStr">
        <is>
          <t>Pendiente: sin cifra de personal ocupado verificada en el conjunto actual</t>
        </is>
      </c>
      <c r="AK40" s="10" t="n"/>
      <c r="AL40" s="12" t="n">
        <v>9.831</v>
      </c>
      <c r="AM40" s="10" t="n">
        <v>2026</v>
      </c>
      <c r="AN40" s="10" t="inlineStr">
        <is>
          <t>Capítulo 1: crédito TOTAL actualizado IGAE, corte 31/08/2026</t>
        </is>
      </c>
      <c r="AO40" s="10" t="inlineStr">
        <is>
          <t>Crédito autorizado, no gasto realizado ni solo salarios</t>
        </is>
      </c>
      <c r="AP40" s="10" t="inlineStr">
        <is>
          <t>https://www.igae.pap.hacienda.gob.es/sitios/igae/es-ES/Contabilidad/ContabilidadPublica/CPE/EjecucionPresupuestaria/Documents/ORGANISMOS%2008.%202026.pdf</t>
        </is>
      </c>
      <c r="AQ40" s="12" t="n">
        <v>4.498</v>
      </c>
      <c r="AR40" s="10" t="n">
        <v>2026</v>
      </c>
      <c r="AS40" s="10" t="inlineStr">
        <is>
          <t>Hasta 31/08/2026:8 meses, NO año completo</t>
        </is>
      </c>
      <c r="AT40" s="10" t="inlineStr">
        <is>
          <t>Capítulo 1: obligaciones reconocidas; incluye costes de personal, no desglose salarial puro</t>
        </is>
      </c>
      <c r="AU40" s="10" t="inlineStr">
        <is>
          <t>https://www.igae.pap.hacienda.gob.es/sitios/igae/es-ES/Contabilidad/ContabilidadPublica/CPE/EjecucionPresupuestaria/Documents/ORGANISMOS%2008.%202026.pdf</t>
        </is>
      </c>
      <c r="AV40" s="10" t="inlineStr">
        <is>
          <t>Fuente primaria cotejada contra fila y unidad milesEUR; no estimación</t>
        </is>
      </c>
      <c r="AW40" s="10" t="inlineStr">
        <is>
          <t>Crédito y gasto de personal individual verificados; plantilla ocupada solo si hay cifra y fecha independiente</t>
        </is>
      </c>
      <c r="AX40" s="14" t="n"/>
      <c r="AY40" s="14" t="n"/>
      <c r="AZ40" s="14" t="n"/>
      <c r="BA40" s="14" t="n"/>
      <c r="BB40" s="14" t="n"/>
      <c r="BC40" s="10" t="inlineStr">
        <is>
          <t>Revisado: SEPIE</t>
        </is>
      </c>
      <c r="BD40" s="10" t="inlineStr">
        <is>
          <t>GestionaErasmus/programas; órganos internos aprueban presupuesto y plan, no leyes generales.</t>
        </is>
      </c>
      <c r="BE40" s="10" t="inlineStr">
        <is>
          <t>No consentimiento favorable para leyes establecido en funciones revisadas.</t>
        </is>
      </c>
      <c r="BF40" s="10" t="inlineStr">
        <is>
          <t>No veto legislativo identificado en estas cláusulas; no pretende descartar obligaciones sectoriales en otras normas.</t>
        </is>
      </c>
      <c r="BG40" s="10" t="inlineStr">
        <is>
          <t>RD903/2007 arts3,6</t>
        </is>
      </c>
      <c r="BH40" s="10" t="inlineStr">
        <is>
          <t>https://www.boe.es/buscar/act.php?id=BOE-A-2007-13179</t>
        </is>
      </c>
      <c r="BI40" s="12" t="n">
        <v>4.498</v>
      </c>
      <c r="BJ40" s="12" t="n">
        <v>8.884</v>
      </c>
      <c r="BK40" s="12" t="n">
        <v>3.73</v>
      </c>
      <c r="BL40" s="12" t="n"/>
      <c r="BM40" s="10" t="n"/>
      <c r="BN40" s="10" t="inlineStr">
        <is>
          <t>IGAE: columnas 2026 crédito / obligaciones / pagos;2025 crédito y obligaciones al mismo 31/08. No comparar 8 meses con año completo. Capítulo 1 no equivale solo a sueldos. PlantillaRPT del lote no incorporada sin verificación adicional.</t>
        </is>
      </c>
      <c r="BO40" s="12" t="n">
        <v>8.884</v>
      </c>
      <c r="BP40" s="12" t="n">
        <v>6.655</v>
      </c>
      <c r="BQ40" s="12" t="n">
        <v>6.655</v>
      </c>
      <c r="BR40" s="12" t="inlineStr">
        <is>
          <t>2025: hasta31/12/2025, año completo</t>
        </is>
      </c>
      <c r="BS40" s="12" t="inlineStr">
        <is>
          <t>Capítulo1: gastos de personal; obligaciones reconocidas, no solo salarios</t>
        </is>
      </c>
      <c r="BT40" s="12" t="inlineStr">
        <is>
          <t>https://www.igae.pap.hacienda.gob.es/sitios/igae/es-ES/Contabilidad/ContabilidadPublica/CPE/EjecucionPresupuestaria/Documents/ORGANISMOS%2012.%202025.pdf</t>
        </is>
      </c>
      <c r="BU40" s="12" t="inlineStr">
        <is>
          <t>Fuente primaria cotejada: IGAE edición12.2025, tabla y unidad milesEUR. No confundir con comparativa2025 de edición08.2026.</t>
        </is>
      </c>
      <c r="BV40" s="27" t="inlineStr">
        <is>
          <t>Útil</t>
        </is>
      </c>
      <c r="BW40" s="27" t="inlineStr">
        <is>
          <t>Mantener</t>
        </is>
      </c>
      <c r="BX40" s="27" t="inlineStr">
        <is>
          <t>Financiación y ayudas</t>
        </is>
      </c>
      <c r="BY40" s="12" t="n"/>
      <c r="BZ40" s="27" t="inlineStr">
        <is>
          <t>Sí: el Reglamento (UE) 2021/817 exige una agencia nacional de Erasmus+</t>
        </is>
      </c>
      <c r="CA40" s="27" t="inlineStr">
        <is>
          <t>Acreditada</t>
        </is>
      </c>
      <c r="CB40" s="27" t="inlineStr">
        <is>
          <t>Agencia nacional de Erasmus+, exigida por el reglamento europeo.</t>
        </is>
      </c>
      <c r="CC40" s="27" t="inlineStr">
        <is>
          <t>Aplicando el criterio del P100: Servicio directo (exigida por la UE)</t>
        </is>
      </c>
      <c r="CD40" s="12" t="n"/>
      <c r="CE40" s="27" t="inlineStr">
        <is>
          <t>Programas educativos europeos</t>
        </is>
      </c>
      <c r="CF40" s="12" t="n"/>
      <c r="CG40" s="12" t="n"/>
      <c r="CH40" s="29">
        <f>IF(AND(ISNUMBER(BP40),ISNUMBER(AG40),AG40&gt;0),BP40*1000000/AG40,"")</f>
        <v/>
      </c>
      <c r="CI40" s="12" t="n"/>
      <c r="CJ40" s="12" t="n"/>
      <c r="CK40" s="12" t="n"/>
      <c r="CL40" s="12" t="n"/>
      <c r="CM40" s="12" t="n"/>
      <c r="CN40" s="12" t="n"/>
      <c r="CO40" s="12" t="n"/>
      <c r="CP40" s="12" t="n"/>
      <c r="CQ40" s="12" t="n"/>
      <c r="CR40" s="12" t="n"/>
      <c r="CS40" s="12" t="n"/>
    </row>
    <row r="41">
      <c r="A41" s="10" t="n">
        <v>40</v>
      </c>
      <c r="B41" s="10" t="inlineStr">
        <is>
          <t>Estatal</t>
        </is>
      </c>
      <c r="C41" s="10" t="inlineStr">
        <is>
          <t>Estado</t>
        </is>
      </c>
      <c r="D41" s="10" t="inlineStr">
        <is>
          <t>Sánchez</t>
        </is>
      </c>
      <c r="E41" s="10" t="inlineStr">
        <is>
          <t>Agencia Espacial Española (AEE)</t>
        </is>
      </c>
      <c r="F41" s="10" t="inlineStr">
        <is>
          <t>Agencia nueva que integra funciones previas</t>
        </is>
      </c>
      <c r="G41" s="10" t="inlineStr">
        <is>
          <t>2023-03-07</t>
        </is>
      </c>
      <c r="H41" s="10" t="inlineStr">
        <is>
          <t>RD 158/2023; autorización Ley 17/2022, DA 3</t>
        </is>
      </c>
      <c r="I41" s="10" t="inlineStr">
        <is>
          <t>Coordinar la política espacial, representar a España y ejecutar programas espaciales civiles y de seguridad.</t>
        </is>
      </c>
      <c r="J41" s="10" t="inlineStr">
        <is>
          <t>Juicio: Poder de gestión y asignación real. Presupuesto propio y obligaciones no financieras de 875,964 M EUR a agosto; no es un mero foro.</t>
        </is>
      </c>
      <c r="K41" s="11" t="n">
        <v>962.514</v>
      </c>
      <c r="L41" s="10" t="n">
        <v>2026</v>
      </c>
      <c r="M41" s="10" t="inlineStr">
        <is>
          <t>Crédito total actualizado</t>
        </is>
      </c>
      <c r="N41" s="10" t="inlineStr">
        <is>
          <t>31/08/2026</t>
        </is>
      </c>
      <c r="O41" s="10" t="inlineStr">
        <is>
          <t>Cifra propia verificada</t>
        </is>
      </c>
      <c r="P41" s="12" t="n">
        <v>315.001</v>
      </c>
      <c r="Q41" s="12" t="n">
        <v>647.513</v>
      </c>
      <c r="R41" s="10" t="inlineStr">
        <is>
          <t>Gastos 2026: 315,001 M EUR iniciales; +647,513 M de modificaciones netas; 962,514 M de crédito total a agosto (IGAE p.100). No confundir con ingresos ni con gasto ya pagado.</t>
        </is>
      </c>
      <c r="S41" s="10" t="inlineStr">
        <is>
          <t>31/08/2026 para IGAE; consulta 11/10/2026 para normas y actividad</t>
        </is>
      </c>
      <c r="T41" s="10" t="inlineStr">
        <is>
          <t>Creación acreditada; continuidad legal revisada, sin auditoría completa de actividad.</t>
        </is>
      </c>
      <c r="U41" s="10" t="inlineStr">
        <is>
          <t>Las modificaciones agregadas no identifican cada origen. Los 625 M anunciados para programas ESA el 31/03/2026 no se suman al crédito total: puede haber solapamiento.</t>
        </is>
      </c>
      <c r="V41" s="10" t="inlineStr">
        <is>
          <t>Ámbito compartido; funciones distintas</t>
        </is>
      </c>
      <c r="W41" s="10" t="inlineStr">
        <is>
          <t>64</t>
        </is>
      </c>
      <c r="X41" s="10" t="inlineStr">
        <is>
          <t>Política espacial ejecutiva frente a apoyo al Consejo de Seguridad Nacional en riesgos aeroespaciales.</t>
        </is>
      </c>
      <c r="Y41" s="10" t="inlineStr">
        <is>
          <t>https://www.boe.es/eli/es/rd/2023/03/07/158
https://www.igae.pap.hacienda.gob.es/sitios/igae/es-ES/Contabilidad/ContabilidadPublica/CPE/EjecucionPresupuestaria/Documents/ORGANISMOS%2008.%202026.pdf
https://www.aee.gob.es/Noticias/2026/marzo/inversion-625-millones-euros.html
https://boe.es/buscar/doc.php?id=BOE-A-2020-3638</t>
        </is>
      </c>
      <c r="Z41" s="10" t="inlineStr">
        <is>
          <t>https://www.boe.es/eli/es/rd/2023/03/07/158
https://www.igae.pap.hacienda.gob.es/sitios/igae/es-ES/Contabilidad/ContabilidadPublica/CPE/EjecucionPresupuestaria/Documents/ORGANISMOS%2008.%202026.pdf
https://www.aee.gob.es/Noticias/2026/marzo/inversion-625-millones-euros.html</t>
        </is>
      </c>
      <c r="AA41" s="12" t="n"/>
      <c r="AB41" s="10" t="n"/>
      <c r="AC41" s="10" t="n"/>
      <c r="AD41" s="10" t="n"/>
      <c r="AE41" s="13" t="inlineStr">
        <is>
          <t>https://files.instinct.com/q91pr53q4umo-entidades-publicas-poder-y-presupuesto</t>
        </is>
      </c>
      <c r="AF41" s="10" t="inlineStr">
        <is>
          <t>12/10/2026</t>
        </is>
      </c>
      <c r="AG41" s="10" t="n"/>
      <c r="AH41" s="10" t="n"/>
      <c r="AI41" s="10" t="inlineStr">
        <is>
          <t>Personas realmente ocupadas; no equiparar vocales, puestos RPT o apoyo ministerial con plantilla</t>
        </is>
      </c>
      <c r="AJ41" s="10" t="inlineStr">
        <is>
          <t>Pendiente: sin cifra de personal ocupado verificada en el conjunto actual</t>
        </is>
      </c>
      <c r="AK41" s="10" t="n"/>
      <c r="AL41" s="12" t="n">
        <v>7.7</v>
      </c>
      <c r="AM41" s="10" t="n">
        <v>2026</v>
      </c>
      <c r="AN41" s="10" t="inlineStr">
        <is>
          <t>Capítulo 1: crédito TOTAL actualizado IGAE, corte 31/08/2026</t>
        </is>
      </c>
      <c r="AO41" s="10" t="inlineStr">
        <is>
          <t>Crédito autorizado, no gasto realizado ni solo salarios</t>
        </is>
      </c>
      <c r="AP41" s="10" t="inlineStr">
        <is>
          <t>https://www.igae.pap.hacienda.gob.es/sitios/igae/es-ES/Contabilidad/ContabilidadPublica/CPE/EjecucionPresupuestaria/Documents/ORGANISMOS%2008.%202026.pdf</t>
        </is>
      </c>
      <c r="AQ41" s="12" t="n">
        <v>3.081</v>
      </c>
      <c r="AR41" s="10" t="n">
        <v>2026</v>
      </c>
      <c r="AS41" s="10" t="inlineStr">
        <is>
          <t>Hasta 31/08/2026:8 meses, NO año completo</t>
        </is>
      </c>
      <c r="AT41" s="10" t="inlineStr">
        <is>
          <t>Capítulo 1: obligaciones reconocidas; incluye costes de personal, no desglose salarial puro</t>
        </is>
      </c>
      <c r="AU41" s="10" t="inlineStr">
        <is>
          <t>https://www.igae.pap.hacienda.gob.es/sitios/igae/es-ES/Contabilidad/ContabilidadPublica/CPE/EjecucionPresupuestaria/Documents/ORGANISMOS%2008.%202026.pdf</t>
        </is>
      </c>
      <c r="AV41" s="10" t="inlineStr">
        <is>
          <t>Fuente primaria cotejada contra fila y unidad milesEUR; no estimación</t>
        </is>
      </c>
      <c r="AW41" s="10" t="inlineStr">
        <is>
          <t>Crédito y gasto de personal individual verificados; plantilla ocupada solo si hay cifra y fecha independiente</t>
        </is>
      </c>
      <c r="AX41" s="14" t="n"/>
      <c r="AY41" s="14" t="n"/>
      <c r="AZ41" s="14" t="n"/>
      <c r="BA41" s="14" t="n"/>
      <c r="BB41" s="14" t="n"/>
      <c r="BC41" s="10" t="inlineStr">
        <is>
          <t>Revisado: AEE</t>
        </is>
      </c>
      <c r="BD41" s="10" t="inlineStr">
        <is>
          <t>Diseña política/estrategia espacial y planes; no consentimiento legislativo general identificado.</t>
        </is>
      </c>
      <c r="BE41" s="10" t="inlineStr">
        <is>
          <t>No consentimiento favorable para leyes establecido en funciones revisadas.</t>
        </is>
      </c>
      <c r="BF41" s="10" t="inlineStr">
        <is>
          <t>No veto legislativo identificado en estas cláusulas; no pretende descartar obligaciones sectoriales en otras normas.</t>
        </is>
      </c>
      <c r="BG41" s="10" t="inlineStr">
        <is>
          <t>RD158/2023 art5</t>
        </is>
      </c>
      <c r="BH41" s="10" t="inlineStr">
        <is>
          <t>https://www.boe.es/eli/es/rd/2023/03/07/158</t>
        </is>
      </c>
      <c r="BI41" s="12" t="n">
        <v>3.03</v>
      </c>
      <c r="BJ41" s="12" t="n">
        <v>7.4</v>
      </c>
      <c r="BK41" s="12" t="n">
        <v>2.199</v>
      </c>
      <c r="BL41" s="12" t="n"/>
      <c r="BM41" s="10" t="n"/>
      <c r="BN41" s="10" t="inlineStr">
        <is>
          <t>IGAE: columnas 2026 crédito / obligaciones / pagos;2025 crédito y obligaciones al mismo 31/08. No comparar 8 meses con año completo. Capítulo 1 no equivale solo a sueldos. PlantillaRPT del lote no incorporada sin verificación adicional.</t>
        </is>
      </c>
      <c r="BO41" s="12" t="n">
        <v>7.4</v>
      </c>
      <c r="BP41" s="12" t="n">
        <v>4.465</v>
      </c>
      <c r="BQ41" s="12" t="n">
        <v>4.462</v>
      </c>
      <c r="BR41" s="12" t="inlineStr">
        <is>
          <t>2025: hasta31/12/2025, año completo</t>
        </is>
      </c>
      <c r="BS41" s="12" t="inlineStr">
        <is>
          <t>Capítulo1: gastos de personal; obligaciones reconocidas, no solo salarios</t>
        </is>
      </c>
      <c r="BT41" s="12" t="inlineStr">
        <is>
          <t>https://www.igae.pap.hacienda.gob.es/sitios/igae/es-ES/Contabilidad/ContabilidadPublica/CPE/EjecucionPresupuestaria/Documents/ORGANISMOS%2012.%202025.pdf</t>
        </is>
      </c>
      <c r="BU41" s="12" t="inlineStr">
        <is>
          <t>Fuente primaria cotejada: IGAE edición12.2025, tabla y unidad milesEUR. No confundir con comparativa2025 de edición08.2026.</t>
        </is>
      </c>
      <c r="BV41" s="27" t="inlineStr">
        <is>
          <t>No útil</t>
        </is>
      </c>
      <c r="BW41" s="27" t="inlineStr">
        <is>
          <t>Integrar</t>
        </is>
      </c>
      <c r="BX41" s="27" t="inlineStr">
        <is>
          <t>Financiación y ayudas</t>
        </is>
      </c>
      <c r="BY41" s="12" t="n"/>
      <c r="BZ41" s="27" t="inlineStr">
        <is>
          <t>No</t>
        </is>
      </c>
      <c r="CA41" s="27" t="inlineStr">
        <is>
          <t>Acreditada</t>
        </is>
      </c>
      <c r="CB41" s="27" t="inlineStr">
        <is>
          <t>Canaliza programas espaciales y la aportación a la Agencia Espacial Europea, que el CDTI gestionaba hasta 2023; creada después de 2004.</t>
        </is>
      </c>
      <c r="CC41" s="27" t="inlineStr">
        <is>
          <t>Aplicando el criterio del P100: Costes del Estado 9 (alguien más ya lo hacía)</t>
        </is>
      </c>
      <c r="CD41" s="27" t="inlineStr">
        <is>
          <t>Centro para el Desarrollo Tecnológico y la Innovación (CDTI, E.P.E.)</t>
        </is>
      </c>
      <c r="CE41" s="27" t="inlineStr">
        <is>
          <t>Espacio</t>
        </is>
      </c>
      <c r="CF41" s="12" t="n"/>
      <c r="CG41" s="12" t="n"/>
      <c r="CH41" s="29">
        <f>IF(AND(ISNUMBER(BP41),ISNUMBER(AG41),AG41&gt;0),BP41*1000000/AG41,"")</f>
        <v/>
      </c>
      <c r="CI41" s="12" t="n"/>
      <c r="CJ41" s="12" t="n"/>
      <c r="CK41" s="12" t="n"/>
      <c r="CL41" s="12" t="n"/>
      <c r="CM41" s="12" t="n"/>
      <c r="CN41" s="12" t="n"/>
      <c r="CO41" s="12" t="n"/>
      <c r="CP41" s="12" t="n"/>
      <c r="CQ41" s="12" t="n"/>
      <c r="CR41" s="12" t="n"/>
      <c r="CS41" s="12" t="n"/>
    </row>
    <row r="42">
      <c r="A42" s="10" t="n">
        <v>41</v>
      </c>
      <c r="B42" s="10" t="inlineStr">
        <is>
          <t>Estatal</t>
        </is>
      </c>
      <c r="C42" s="10" t="inlineStr">
        <is>
          <t>Estado</t>
        </is>
      </c>
      <c r="D42" s="10" t="inlineStr">
        <is>
          <t>Sánchez</t>
        </is>
      </c>
      <c r="E42" s="10" t="inlineStr">
        <is>
          <t>Agencia Española de Supervisión de Inteligencia Artificial (AESIA)</t>
        </is>
      </c>
      <c r="F42" s="10" t="inlineStr">
        <is>
          <t>Agencia nueva</t>
        </is>
      </c>
      <c r="G42" s="10" t="inlineStr">
        <is>
          <t>2023-08-22</t>
        </is>
      </c>
      <c r="H42" s="10" t="inlineStr">
        <is>
          <t>RD 729/2023; Ley 28/2022, DA 7</t>
        </is>
      </c>
      <c r="I42" s="10" t="inlineStr">
        <is>
          <t>Supervisión, asesoramiento y formación sobre IA; inspección y sanción en los términos de la normativa aplicable.</t>
        </is>
      </c>
      <c r="J42" s="10" t="inlineStr">
        <is>
          <t>Juicio: Capacidad institucional real, todavía en despliegue. Tiene ejecución de gasto y contratación de personal. No atribuir automáticamente todas las sanciones de un proyecto de ley.</t>
        </is>
      </c>
      <c r="K42" s="11" t="n">
        <v>6.994</v>
      </c>
      <c r="L42" s="10" t="n">
        <v>2026</v>
      </c>
      <c r="M42" s="10" t="inlineStr">
        <is>
          <t>Crédito total actualizado</t>
        </is>
      </c>
      <c r="N42" s="10" t="inlineStr">
        <is>
          <t>31/08/2026</t>
        </is>
      </c>
      <c r="O42" s="10" t="inlineStr">
        <is>
          <t>Cifra propia verificada</t>
        </is>
      </c>
      <c r="P42" s="12" t="n">
        <v>4.999</v>
      </c>
      <c r="Q42" s="12" t="n">
        <v>1.995</v>
      </c>
      <c r="R42" s="10" t="inlineStr">
        <is>
          <t>Gastos 2026: 4,999 M EUR iniciales; +1,995 M de modificaciones; 6,994 M totales. Obligaciones no financieras: 1,828 M (IGAE pp.100,102).</t>
        </is>
      </c>
      <c r="S42" s="10" t="inlineStr">
        <is>
          <t>31/08/2026 para IGAE; consulta 11/10/2026 para normas y actividad</t>
        </is>
      </c>
      <c r="T42" s="10" t="inlineStr">
        <is>
          <t>Creación acreditada; continuidad legal revisada, sin auditoría completa de actividad.</t>
        </is>
      </c>
      <c r="U42" s="10" t="inlineStr">
        <is>
          <t>Alberto Gago nombrado director en diciembre 2025. Las 19 plazas convocadas no son 19 puestos ocupados; 55 empleados era una previsión, no plantilla comprobada. En mayo 2026 la ley española de gobernanza se remitía como proyecto.</t>
        </is>
      </c>
      <c r="V42" s="10" t="inlineStr">
        <is>
          <t>No se ha identificado relación en esta revisión (no certifica ausencia)</t>
        </is>
      </c>
      <c r="W42" s="10" t="n"/>
      <c r="X42" s="10" t="inlineStr">
        <is>
          <t>Revisión cualitativa del mandato y estado de las 95 fichas; no auditoría exhaustiva de funciones ni proyectos.</t>
        </is>
      </c>
      <c r="Y42" s="10" t="n"/>
      <c r="Z42" s="10" t="inlineStr">
        <is>
          <t>https://www.boe.es/buscar/doc.php?id=BOE-A-2023-18911
https://www.igae.pap.hacienda.gob.es/sitios/igae/es-ES/Contabilidad/ContabilidadPublica/CPE/EjecucionPresupuestaria/Documents/ORGANISMOS%2008.%202026.pdf
https://aesia.digital.gob.es/es/actualidad/20251219-alberto-gago-nuevo-director-de-la-agencia-espanola-de-supervision-de-inteligencia-artificial
https://aesia.digital.gob.es/storage/media/resena-boe.pdf
https://digital.gob.es/content/dam/portal-mtdfp/comunicacion/comunicacion_ministro/2026/05/2026-05-26/260526%20NP%20CMin%20APL%20IA.pdf</t>
        </is>
      </c>
      <c r="AA42" s="12" t="n"/>
      <c r="AB42" s="10" t="n"/>
      <c r="AC42" s="10" t="n"/>
      <c r="AD42" s="10" t="n"/>
      <c r="AE42" s="13" t="inlineStr">
        <is>
          <t>https://files.instinct.com/q91pr53q4umo-entidades-publicas-poder-y-presupuesto</t>
        </is>
      </c>
      <c r="AF42" s="10" t="inlineStr">
        <is>
          <t>12/10/2026</t>
        </is>
      </c>
      <c r="AG42" s="10" t="n"/>
      <c r="AH42" s="10" t="n"/>
      <c r="AI42" s="10" t="inlineStr">
        <is>
          <t>Personas realmente ocupadas; no equiparar vocales, puestos RPT o apoyo ministerial con plantilla</t>
        </is>
      </c>
      <c r="AJ42" s="10" t="inlineStr">
        <is>
          <t>Pendiente: sin cifra de personal ocupado verificada en el conjunto actual</t>
        </is>
      </c>
      <c r="AK42" s="10" t="n"/>
      <c r="AL42" s="12" t="n">
        <v>3.144</v>
      </c>
      <c r="AM42" s="10" t="n">
        <v>2026</v>
      </c>
      <c r="AN42" s="10" t="inlineStr">
        <is>
          <t>Capítulo 1: crédito TOTAL actualizado IGAE, corte 31/08/2026</t>
        </is>
      </c>
      <c r="AO42" s="10" t="inlineStr">
        <is>
          <t>Crédito autorizado, no gasto realizado ni solo salarios</t>
        </is>
      </c>
      <c r="AP42" s="10" t="inlineStr">
        <is>
          <t>https://www.igae.pap.hacienda.gob.es/sitios/igae/es-ES/Contabilidad/ContabilidadPublica/CPE/EjecucionPresupuestaria/Documents/ORGANISMOS%2008.%202026.pdf</t>
        </is>
      </c>
      <c r="AQ42" s="12" t="n">
        <v>1.582</v>
      </c>
      <c r="AR42" s="10" t="n">
        <v>2026</v>
      </c>
      <c r="AS42" s="10" t="inlineStr">
        <is>
          <t>Hasta 31/08/2026:8 meses, NO año completo</t>
        </is>
      </c>
      <c r="AT42" s="10" t="inlineStr">
        <is>
          <t>Capítulo 1: obligaciones reconocidas; incluye costes de personal, no desglose salarial puro</t>
        </is>
      </c>
      <c r="AU42" s="10" t="inlineStr">
        <is>
          <t>https://www.igae.pap.hacienda.gob.es/sitios/igae/es-ES/Contabilidad/ContabilidadPublica/CPE/EjecucionPresupuestaria/Documents/ORGANISMOS%2008.%202026.pdf</t>
        </is>
      </c>
      <c r="AV42" s="10" t="inlineStr">
        <is>
          <t>Fuente primaria cotejada contra fila y unidad milesEUR; no estimación</t>
        </is>
      </c>
      <c r="AW42" s="10" t="inlineStr">
        <is>
          <t>Crédito y gasto de personal individual verificados; plantilla ocupada solo si hay cifra y fecha independiente</t>
        </is>
      </c>
      <c r="AX42" s="14" t="n"/>
      <c r="AY42" s="14" t="n"/>
      <c r="AZ42" s="14" t="n"/>
      <c r="BA42" s="14" t="n"/>
      <c r="BB42" s="14" t="n"/>
      <c r="BC42" s="10" t="inlineStr">
        <is>
          <t>Revisado: AESIA informes de pilotos, no leyes</t>
        </is>
      </c>
      <c r="BD42" s="10" t="inlineStr">
        <is>
          <t>Informes preceptivos sobre pilotos/sandboxes AGE; no informes legislativos generales identificados en estatuto.</t>
        </is>
      </c>
      <c r="BE42" s="10" t="inlineStr">
        <is>
          <t>No se exige consentimiento favorable ni carácter vinculante del informe en la cláusula citada; no es veto.</t>
        </is>
      </c>
      <c r="BF42" s="10" t="inlineStr">
        <is>
          <t>Informes sobre pilotos IA y control de sistemas no equivalen a aprobar leyes.</t>
        </is>
      </c>
      <c r="BG42" s="10" t="inlineStr">
        <is>
          <t>RD729/2023 art25; funciones estatutarias</t>
        </is>
      </c>
      <c r="BH42" s="10" t="inlineStr">
        <is>
          <t>https://www.boe.es/buscar/doc.php?id=BOE-A-2023-18911</t>
        </is>
      </c>
      <c r="BI42" s="12" t="n">
        <v>1.582</v>
      </c>
      <c r="BJ42" s="12" t="n"/>
      <c r="BK42" s="12" t="n"/>
      <c r="BL42" s="12" t="n"/>
      <c r="BM42" s="10" t="n"/>
      <c r="BN42" s="10" t="inlineStr">
        <is>
          <t>IGAE: columnas 2026 crédito / obligaciones / pagos;2025 crédito y obligaciones al mismo 31/08. No comparar 8 meses con año completo. Capítulo 1 no equivale solo a sueldos. PlantillaRPT del lote no incorporada sin verificación adicional. Sin comparación 2025 en informe; nulo NO cero.</t>
        </is>
      </c>
      <c r="BO42" s="12" t="n"/>
      <c r="BP42" s="12" t="n"/>
      <c r="BQ42" s="12" t="n"/>
      <c r="BR42" s="12" t="n"/>
      <c r="BS42" s="12" t="n"/>
      <c r="BT42" s="12" t="n"/>
      <c r="BU42" s="12" t="n"/>
      <c r="BV42" s="27" t="inlineStr">
        <is>
          <t>Útil</t>
        </is>
      </c>
      <c r="BW42" s="27" t="inlineStr">
        <is>
          <t>Mantener</t>
        </is>
      </c>
      <c r="BX42" s="27" t="inlineStr">
        <is>
          <t>Regulación o inspección de terceros</t>
        </is>
      </c>
      <c r="BY42" s="12" t="n"/>
      <c r="BZ42" s="27" t="inlineStr">
        <is>
          <t>Sí: el Reglamento (UE) 2024/1689 exige una autoridad de vigilancia del mercado de IA</t>
        </is>
      </c>
      <c r="CA42" s="27" t="inlineStr">
        <is>
          <t>Acreditada</t>
        </is>
      </c>
      <c r="CB42" s="27" t="inlineStr">
        <is>
          <t>Vigila el mercado de la inteligencia artificial, como exige el reglamento europeo.</t>
        </is>
      </c>
      <c r="CC42" s="27" t="inlineStr">
        <is>
          <t>Aplicando el criterio del P100: Costes del Estado 9 (función técnica; exigida por la UE)</t>
        </is>
      </c>
      <c r="CD42" s="12" t="n"/>
      <c r="CE42" s="27" t="inlineStr">
        <is>
          <t>Inteligencia artificial</t>
        </is>
      </c>
      <c r="CF42" s="12" t="n"/>
      <c r="CG42" s="12" t="n"/>
      <c r="CH42" s="29">
        <f>IF(AND(ISNUMBER(BP42),ISNUMBER(AG42),AG42&gt;0),BP42*1000000/AG42,"")</f>
        <v/>
      </c>
      <c r="CI42" s="12" t="n"/>
      <c r="CJ42" s="12" t="n"/>
      <c r="CK42" s="12" t="n"/>
      <c r="CL42" s="12" t="n"/>
      <c r="CM42" s="12" t="n"/>
      <c r="CN42" s="12" t="n"/>
      <c r="CO42" s="12" t="n"/>
      <c r="CP42" s="12" t="n"/>
      <c r="CQ42" s="12" t="n"/>
      <c r="CR42" s="12" t="n"/>
      <c r="CS42" s="12" t="n"/>
    </row>
    <row r="43">
      <c r="A43" s="10" t="n">
        <v>42</v>
      </c>
      <c r="B43" s="10" t="inlineStr">
        <is>
          <t>Estatal</t>
        </is>
      </c>
      <c r="C43" s="10" t="inlineStr">
        <is>
          <t>Estado</t>
        </is>
      </c>
      <c r="D43" s="10" t="inlineStr">
        <is>
          <t>Sánchez</t>
        </is>
      </c>
      <c r="E43" s="10" t="inlineStr">
        <is>
          <t>Agencia Estatal de Administración Digital (AEAD)</t>
        </is>
      </c>
      <c r="F43" s="10" t="inlineStr">
        <is>
          <t>Entidad nueva; sucede a la Secretaría General de Administración Digital</t>
        </is>
      </c>
      <c r="G43" s="10" t="inlineStr">
        <is>
          <t>2024-11-05</t>
        </is>
      </c>
      <c r="H43" s="10" t="inlineStr">
        <is>
          <t>RD 1118/2024</t>
        </is>
      </c>
      <c r="I43" s="10" t="inlineStr">
        <is>
          <t>Prestar servicios e infraestructuras digitales comunes y ejecutar la transformación digital de la AGE.</t>
        </is>
      </c>
      <c r="J43" s="10" t="inlineStr">
        <is>
          <t>Juicio: Poder operativo real sobre sistemas y servicios compartidos. La sucesión de funciones no equivale a creación de capacidades desde cero.</t>
        </is>
      </c>
      <c r="K43" s="11" t="n">
        <v>205.525</v>
      </c>
      <c r="L43" s="10" t="n">
        <v>2026</v>
      </c>
      <c r="M43" s="10" t="inlineStr">
        <is>
          <t>Crédito total actualizado</t>
        </is>
      </c>
      <c r="N43" s="10" t="inlineStr">
        <is>
          <t>31/08/2026</t>
        </is>
      </c>
      <c r="O43" s="10" t="inlineStr">
        <is>
          <t>Cifra propia verificada</t>
        </is>
      </c>
      <c r="P43" s="12" t="n">
        <v>49.972</v>
      </c>
      <c r="Q43" s="12" t="n">
        <v>155.553</v>
      </c>
      <c r="R43" s="10" t="inlineStr">
        <is>
          <t>Gastos 2026: 49,972 M EUR iniciales; +155,553 M de modificaciones; 205,525 M totales. Obligaciones no financieras 104,482 M (IGAE pp.100,102).</t>
        </is>
      </c>
      <c r="S43" s="10" t="inlineStr">
        <is>
          <t>31/08/2026 para IGAE; consulta 11/10/2026 para normas y actividad</t>
        </is>
      </c>
      <c r="T43" s="10" t="inlineStr">
        <is>
          <t>Creación acreditada; continuidad legal revisada, sin auditoría completa de actividad.</t>
        </is>
      </c>
      <c r="U43" s="10" t="inlineStr">
        <is>
          <t>El estatuto preserva competencias específicas de AEAT, IGAE, Seguridad Social, Interior y Presidencia; no controla todos los sistemas del Estado.</t>
        </is>
      </c>
      <c r="V43" s="10" t="inlineStr">
        <is>
          <t>No se ha identificado relación en esta revisión (no certifica ausencia)</t>
        </is>
      </c>
      <c r="W43" s="10" t="n"/>
      <c r="X43" s="10" t="inlineStr">
        <is>
          <t>Revisión cualitativa del mandato y estado de las 95 fichas; no auditoría exhaustiva de funciones ni proyectos.</t>
        </is>
      </c>
      <c r="Y43" s="10" t="n"/>
      <c r="Z43" s="10" t="inlineStr">
        <is>
          <t>https://www.boe.es/buscar/doc.php?id=BOE-A-2024-22929
https://www.igae.pap.hacienda.gob.es/sitios/igae/es-ES/Contabilidad/ContabilidadPublica/CPE/EjecucionPresupuestaria/Documents/ORGANISMOS%2008.%202026.pdf</t>
        </is>
      </c>
      <c r="AA43" s="12" t="n"/>
      <c r="AB43" s="10" t="n"/>
      <c r="AC43" s="10" t="n"/>
      <c r="AD43" s="10" t="n"/>
      <c r="AE43" s="13" t="inlineStr">
        <is>
          <t>https://files.instinct.com/q91pr53q4umo-entidades-publicas-poder-y-presupuesto</t>
        </is>
      </c>
      <c r="AF43" s="10" t="inlineStr">
        <is>
          <t>12/10/2026</t>
        </is>
      </c>
      <c r="AG43" s="10" t="n"/>
      <c r="AH43" s="10" t="n"/>
      <c r="AI43" s="10" t="inlineStr">
        <is>
          <t>Personas realmente ocupadas; no equiparar vocales, puestos RPT o apoyo ministerial con plantilla</t>
        </is>
      </c>
      <c r="AJ43" s="10" t="inlineStr">
        <is>
          <t>Pendiente: sin cifra de personal ocupado verificada en el conjunto actual</t>
        </is>
      </c>
      <c r="AK43" s="10" t="n"/>
      <c r="AL43" s="12" t="n">
        <v>24.485</v>
      </c>
      <c r="AM43" s="10" t="n">
        <v>2026</v>
      </c>
      <c r="AN43" s="10" t="inlineStr">
        <is>
          <t>Capítulo 1: crédito TOTAL actualizado IGAE, corte 31/08/2026</t>
        </is>
      </c>
      <c r="AO43" s="10" t="inlineStr">
        <is>
          <t>Crédito autorizado, no gasto realizado ni solo salarios</t>
        </is>
      </c>
      <c r="AP43" s="10" t="inlineStr">
        <is>
          <t>https://www.igae.pap.hacienda.gob.es/sitios/igae/es-ES/Contabilidad/ContabilidadPublica/CPE/EjecucionPresupuestaria/Documents/ORGANISMOS%2008.%202026.pdf</t>
        </is>
      </c>
      <c r="AQ43" s="12" t="n">
        <v>13.83</v>
      </c>
      <c r="AR43" s="10" t="n">
        <v>2026</v>
      </c>
      <c r="AS43" s="10" t="inlineStr">
        <is>
          <t>Hasta 31/08/2026:8 meses, NO año completo</t>
        </is>
      </c>
      <c r="AT43" s="10" t="inlineStr">
        <is>
          <t>Capítulo 1: obligaciones reconocidas; incluye costes de personal, no desglose salarial puro</t>
        </is>
      </c>
      <c r="AU43" s="10" t="inlineStr">
        <is>
          <t>https://www.igae.pap.hacienda.gob.es/sitios/igae/es-ES/Contabilidad/ContabilidadPublica/CPE/EjecucionPresupuestaria/Documents/ORGANISMOS%2008.%202026.pdf</t>
        </is>
      </c>
      <c r="AV43" s="10" t="inlineStr">
        <is>
          <t>Fuente primaria cotejada contra fila y unidad milesEUR; no estimación</t>
        </is>
      </c>
      <c r="AW43" s="10" t="inlineStr">
        <is>
          <t>Crédito y gasto de personal individual verificados; plantilla ocupada solo si hay cifra y fecha independiente</t>
        </is>
      </c>
      <c r="AX43" s="14" t="n"/>
      <c r="AY43" s="14" t="n"/>
      <c r="AZ43" s="14" t="n"/>
      <c r="BA43" s="14" t="n"/>
      <c r="BB43" s="14" t="n"/>
      <c r="BC43" s="10" t="inlineStr">
        <is>
          <t>Revisado: AEAD intervención normativa</t>
        </is>
      </c>
      <c r="BD43" s="10" t="inlineStr">
        <is>
          <t>Secretaría General informa proyectos normativos de su ámbito y prepara propuestas; no literal preceptivo en esta cláusula.</t>
        </is>
      </c>
      <c r="BE43" s="10" t="inlineStr">
        <is>
          <t>No se exige consentimiento favorable ni carácter vinculante del informe en la cláusula citada; no es veto.</t>
        </is>
      </c>
      <c r="BF43" s="10" t="inlineStr">
        <is>
          <t>Elabora/informa; no facultad de impedir aprobación de ley declarada en art19.</t>
        </is>
      </c>
      <c r="BG43" s="10" t="inlineStr">
        <is>
          <t>RD1118/2024 art19</t>
        </is>
      </c>
      <c r="BH43" s="10" t="inlineStr">
        <is>
          <t>https://www.boe.es/buscar/doc.php?id=BOE-A-2024-22929</t>
        </is>
      </c>
      <c r="BI43" s="12" t="n">
        <v>13.83</v>
      </c>
      <c r="BJ43" s="12" t="n"/>
      <c r="BK43" s="12" t="n"/>
      <c r="BL43" s="12" t="n"/>
      <c r="BM43" s="10" t="n"/>
      <c r="BN43" s="10" t="inlineStr">
        <is>
          <t>IGAE: columnas 2026 crédito / obligaciones / pagos;2025 crédito y obligaciones al mismo 31/08. No comparar 8 meses con año completo. Capítulo 1 no equivale solo a sueldos. PlantillaRPT del lote no incorporada sin verificación adicional. Sin comparación 2025 en informe; nulo NO cero.</t>
        </is>
      </c>
      <c r="BO43" s="12" t="n"/>
      <c r="BP43" s="12" t="n"/>
      <c r="BQ43" s="12" t="n"/>
      <c r="BR43" s="12" t="n"/>
      <c r="BS43" s="12" t="n"/>
      <c r="BT43" s="12" t="n"/>
      <c r="BU43" s="12" t="n"/>
      <c r="BV43" s="27" t="inlineStr">
        <is>
          <t>Útil</t>
        </is>
      </c>
      <c r="BW43" s="27" t="inlineStr">
        <is>
          <t>Mantener</t>
        </is>
      </c>
      <c r="BX43" s="27" t="inlineStr">
        <is>
          <t>Servicio público directo</t>
        </is>
      </c>
      <c r="BY43" s="27" t="inlineStr">
        <is>
          <t>Organismo estatal de referencia. 9 comunidades tienen el suyo propio; 10 organismos sobre este tema entre el Estado y las CCAA (verificados).</t>
        </is>
      </c>
      <c r="BZ43" s="27" t="inlineStr">
        <is>
          <t>No</t>
        </is>
      </c>
      <c r="CA43" s="27" t="inlineStr">
        <is>
          <t>Acreditada</t>
        </is>
      </c>
      <c r="CB43" s="27" t="inlineStr">
        <is>
          <t>Presta los servicios digitales comunes del Estado: es la pieza natural para la web única del P100.</t>
        </is>
      </c>
      <c r="CC43" s="27" t="inlineStr">
        <is>
          <t>Aplicando el criterio del P100: Organización del Estado 17</t>
        </is>
      </c>
      <c r="CD43" s="12" t="n"/>
      <c r="CE43" s="27" t="inlineStr">
        <is>
          <t>Agencias de administración digital y TIC</t>
        </is>
      </c>
      <c r="CF43" s="28" t="n">
        <v>10</v>
      </c>
      <c r="CG43" s="12" t="n"/>
      <c r="CH43" s="29">
        <f>IF(AND(ISNUMBER(BP43),ISNUMBER(AG43),AG43&gt;0),BP43*1000000/AG43,"")</f>
        <v/>
      </c>
      <c r="CI43" s="12" t="n"/>
      <c r="CJ43" s="12" t="n"/>
      <c r="CK43" s="12" t="n"/>
      <c r="CL43" s="12" t="n"/>
      <c r="CM43" s="12" t="n"/>
      <c r="CN43" s="12" t="n"/>
      <c r="CO43" s="12" t="n"/>
      <c r="CP43" s="12" t="n"/>
      <c r="CQ43" s="12" t="n"/>
      <c r="CR43" s="12" t="n"/>
      <c r="CS43" s="12" t="n"/>
    </row>
    <row r="44">
      <c r="A44" s="10" t="n">
        <v>43</v>
      </c>
      <c r="B44" s="10" t="inlineStr">
        <is>
          <t>Estatal</t>
        </is>
      </c>
      <c r="C44" s="10" t="inlineStr">
        <is>
          <t>Estado</t>
        </is>
      </c>
      <c r="D44" s="10" t="inlineStr">
        <is>
          <t>Sánchez</t>
        </is>
      </c>
      <c r="E44" s="10" t="inlineStr">
        <is>
          <t>Autoridad Independiente de Protección del Informante (A.A.I.)</t>
        </is>
      </c>
      <c r="F44" s="10" t="inlineStr">
        <is>
          <t>Autoridad nueva; estatuto 2024</t>
        </is>
      </c>
      <c r="G44" s="10" t="inlineStr">
        <is>
          <t>2023-02-20</t>
        </is>
      </c>
      <c r="H44" s="10" t="inlineStr">
        <is>
          <t>Ley 2/2023; RD 1101/2024</t>
        </is>
      </c>
      <c r="I44" s="10" t="inlineStr">
        <is>
          <t>Canal externo de denuncias, apoyo a informantes, instrucciones y régimen sancionador en su ámbito.</t>
        </is>
      </c>
      <c r="J44" s="10" t="inlineStr">
        <is>
          <t>Juicio: Poder jurídico real: tramita procedimientos e impone sanciones conforme a la Ley 2/2023. La ejecución acredita actividad presupuestaria, no eficacia completa.</t>
        </is>
      </c>
      <c r="K44" s="11" t="n">
        <v>4.288</v>
      </c>
      <c r="L44" s="10" t="n">
        <v>2026</v>
      </c>
      <c r="M44" s="10" t="inlineStr">
        <is>
          <t>Crédito total actualizado</t>
        </is>
      </c>
      <c r="N44" s="10" t="inlineStr">
        <is>
          <t>31/08/2026</t>
        </is>
      </c>
      <c r="O44" s="10" t="inlineStr">
        <is>
          <t>Cifra propia verificada</t>
        </is>
      </c>
      <c r="P44" s="12" t="n">
        <v>4.288</v>
      </c>
      <c r="Q44" s="12" t="n">
        <v>0</v>
      </c>
      <c r="R44" s="10" t="inlineStr">
        <is>
          <t>Gastos 2026: 4,288 M EUR iniciales y totales; saldo neto de modificaciones 0. Obligaciones no financieras 1,567 M (IGAE pp.99,101).</t>
        </is>
      </c>
      <c r="S44" s="10" t="inlineStr">
        <is>
          <t>31/08/2026 para IGAE; consulta 11/10/2026 para normas y actividad</t>
        </is>
      </c>
      <c r="T44" s="10" t="inlineStr">
        <is>
          <t>Creación acreditada; continuidad legal revisada, sin auditoría completa de actividad.</t>
        </is>
      </c>
      <c r="U44" s="10" t="inlineStr">
        <is>
          <t>Saldo neto 0 no descarta movimientos compensados entre partidas. No se ha cuantificado plantilla ocupada ni sanciones efectivas.</t>
        </is>
      </c>
      <c r="V44" s="10" t="inlineStr">
        <is>
          <t>Ámbito próximo; facultades distintas</t>
        </is>
      </c>
      <c r="W44" s="10" t="inlineStr">
        <is>
          <t>56, 95</t>
        </is>
      </c>
      <c r="X44" s="10" t="inlineStr">
        <is>
          <t>Protección de informantes, prevención de fraude sanitario e investigación administrativa autonómica. No son funciones íntegramente equivalentes ni gasto duplicado acreditado.</t>
        </is>
      </c>
      <c r="Y44" s="10" t="inlineStr">
        <is>
          <t>https://www.boe.es/eli/es/l/2023/02/20/2/con
https://boe.es/buscar/doc.php?id=BOE-A-2024-22298
https://www.igae.pap.hacienda.gob.es/sitios/igae/es-ES/Contabilidad/ContabilidadPublica/CPE/EjecucionPresupuestaria/Documents/ORGANISMOS%2008.%202026.pdf
https://www.sanidad.gob.es/organizacion/transparenciaGobierno/OCFCS/docs/ORDEN_MINISTERIAL.OBSERVATORIO_ANTIFRAUDE._FIRMA.pdf
https://www.sanidad.gob.es/organizacion/transparenciaGobierno/OCFCS/home.htm
https://vsf-iwsold-pro-portal.sanidad.gob.es/ca/gabinete/notasPrensa.do?id=6876
https://www.boe.es/buscar/doc.php?id=BOE-A-2016-12048
https://www.antifraucv.es/wp-content/uploads/2026/03/Memoria_Avaf_2025_es.pdf</t>
        </is>
      </c>
      <c r="Z44" s="10" t="inlineStr">
        <is>
          <t>https://www.boe.es/eli/es/l/2023/02/20/2/con
https://boe.es/buscar/doc.php?id=BOE-A-2024-22298
https://www.igae.pap.hacienda.gob.es/sitios/igae/es-ES/Contabilidad/ContabilidadPublica/CPE/EjecucionPresupuestaria/Documents/ORGANISMOS%2008.%202026.pdf</t>
        </is>
      </c>
      <c r="AA44" s="12" t="n"/>
      <c r="AB44" s="10" t="n"/>
      <c r="AC44" s="10" t="n"/>
      <c r="AD44" s="10" t="n"/>
      <c r="AE44" s="13" t="inlineStr">
        <is>
          <t>https://files.instinct.com/q91pr53q4umo-entidades-publicas-poder-y-presupuesto</t>
        </is>
      </c>
      <c r="AF44" s="10" t="inlineStr">
        <is>
          <t>12/10/2026</t>
        </is>
      </c>
      <c r="AG44" s="10" t="n"/>
      <c r="AH44" s="10" t="n"/>
      <c r="AI44" s="10" t="inlineStr">
        <is>
          <t>Personas realmente ocupadas; no equiparar vocales, puestos RPT o apoyo ministerial con plantilla</t>
        </is>
      </c>
      <c r="AJ44" s="10" t="inlineStr">
        <is>
          <t>Pendiente: sin cifra de personal ocupado verificada en el conjunto actual</t>
        </is>
      </c>
      <c r="AK44" s="10" t="n"/>
      <c r="AL44" s="12" t="n">
        <v>2.599</v>
      </c>
      <c r="AM44" s="10" t="n">
        <v>2026</v>
      </c>
      <c r="AN44" s="10" t="inlineStr">
        <is>
          <t>Capítulo 1: crédito TOTAL actualizado IGAE, corte 31/08/2026</t>
        </is>
      </c>
      <c r="AO44" s="10" t="inlineStr">
        <is>
          <t>Crédito autorizado, no gasto realizado ni solo salarios</t>
        </is>
      </c>
      <c r="AP44" s="10" t="inlineStr">
        <is>
          <t>https://www.igae.pap.hacienda.gob.es/sitios/igae/es-ES/Contabilidad/ContabilidadPublica/CPE/EjecucionPresupuestaria/Documents/ORGANISMOS%2008.%202026.pdf</t>
        </is>
      </c>
      <c r="AQ44" s="12" t="n">
        <v>0.922</v>
      </c>
      <c r="AR44" s="10" t="n">
        <v>2026</v>
      </c>
      <c r="AS44" s="10" t="inlineStr">
        <is>
          <t>Hasta 31/08/2026:8 meses, NO año completo</t>
        </is>
      </c>
      <c r="AT44" s="10" t="inlineStr">
        <is>
          <t>Capítulo 1: obligaciones reconocidas; incluye costes de personal, no desglose salarial puro</t>
        </is>
      </c>
      <c r="AU44" s="10" t="inlineStr">
        <is>
          <t>https://www.igae.pap.hacienda.gob.es/sitios/igae/es-ES/Contabilidad/ContabilidadPublica/CPE/EjecucionPresupuestaria/Documents/ORGANISMOS%2008.%202026.pdf</t>
        </is>
      </c>
      <c r="AV44" s="10" t="inlineStr">
        <is>
          <t>Fuente primaria cotejada contra fila y unidad milesEUR; no estimación</t>
        </is>
      </c>
      <c r="AW44" s="10" t="inlineStr">
        <is>
          <t>Crédito y gasto de personal individual verificados; plantilla ocupada solo si hay cifra y fecha independiente</t>
        </is>
      </c>
      <c r="AX44" s="14" t="n"/>
      <c r="AY44" s="14" t="n"/>
      <c r="AZ44" s="14" t="n"/>
      <c r="BA44" s="14" t="n"/>
      <c r="BB44" s="14" t="n"/>
      <c r="BC44" s="10" t="inlineStr">
        <is>
          <t>Revisado: informe previo obligatorio, AAI informante</t>
        </is>
      </c>
      <c r="BD44" s="10" t="inlineStr">
        <is>
          <t>Sí: anteproyectos y proyectos de disposiciones generales de su ámbito.</t>
        </is>
      </c>
      <c r="BE44" s="10" t="inlineStr">
        <is>
          <t>No se exige consentimiento favorable ni carácter vinculante del informe en la cláusula citada; no es veto.</t>
        </is>
      </c>
      <c r="BF44" s="10" t="inlineStr">
        <is>
          <t>Trámite previo en ámbito específico. Omitirlo puede generar cuestión procedimental, no veto parlamentario automático; efecto exacto requiere analizar procedimiento.</t>
        </is>
      </c>
      <c r="BG44" s="10" t="inlineStr">
        <is>
          <t>RD1101/2024 art3.3; Ley2/2023 art43</t>
        </is>
      </c>
      <c r="BH44" s="10" t="inlineStr">
        <is>
          <t>https://www.boe.es/buscar/pdf/2024/BOE-A-2024-22298-consolidado.pdf</t>
        </is>
      </c>
      <c r="BI44" s="12" t="n">
        <v>0.922</v>
      </c>
      <c r="BJ44" s="12" t="n"/>
      <c r="BK44" s="12" t="n"/>
      <c r="BL44" s="12" t="n"/>
      <c r="BM44" s="10" t="n"/>
      <c r="BN44" s="10" t="inlineStr">
        <is>
          <t>IGAE: columnas 2026 crédito / obligaciones / pagos;2025 crédito y obligaciones al mismo 31/08. No comparar 8 meses con año completo. Capítulo 1 no equivale solo a sueldos. PlantillaRPT del lote no incorporada sin verificación adicional. Sin comparación 2025 en informe; nulo NO cero.</t>
        </is>
      </c>
      <c r="BO44" s="12" t="n"/>
      <c r="BP44" s="12" t="n"/>
      <c r="BQ44" s="12" t="n"/>
      <c r="BR44" s="12" t="n"/>
      <c r="BS44" s="12" t="n"/>
      <c r="BT44" s="12" t="n"/>
      <c r="BU44" s="12" t="n"/>
      <c r="BV44" s="27" t="inlineStr">
        <is>
          <t>Útil</t>
        </is>
      </c>
      <c r="BW44" s="27" t="inlineStr">
        <is>
          <t>Mantener</t>
        </is>
      </c>
      <c r="BX44" s="27" t="inlineStr">
        <is>
          <t>Control interno y cumplimiento</t>
        </is>
      </c>
      <c r="BY44" s="27" t="inlineStr">
        <is>
          <t>Organismo estatal de referencia. 9 comunidades tienen el suyo propio; 10 organismos sobre este tema entre el Estado y las CCAA (verificados).</t>
        </is>
      </c>
      <c r="BZ44" s="27" t="inlineStr">
        <is>
          <t>Sí: la Directiva (UE) 2019/1937 exige autoridades de canal externo de denuncias</t>
        </is>
      </c>
      <c r="CA44" s="27" t="inlineStr">
        <is>
          <t>Acreditada</t>
        </is>
      </c>
      <c r="CB44" s="27" t="inlineStr">
        <is>
          <t>Canal externo de denuncias y protección del informante, exigido por la directiva europea.</t>
        </is>
      </c>
      <c r="CC44" s="27" t="inlineStr">
        <is>
          <t>Aplicando el criterio del P100: Costes del Estado 9 (imparcialidad; exigida por la UE)</t>
        </is>
      </c>
      <c r="CD44" s="12" t="n"/>
      <c r="CE44" s="27" t="inlineStr">
        <is>
          <t>Oficinas y agencias antifraude y de protección del informante</t>
        </is>
      </c>
      <c r="CF44" s="28" t="n">
        <v>10</v>
      </c>
      <c r="CG44" s="12" t="n"/>
      <c r="CH44" s="29">
        <f>IF(AND(ISNUMBER(BP44),ISNUMBER(AG44),AG44&gt;0),BP44*1000000/AG44,"")</f>
        <v/>
      </c>
      <c r="CI44" s="12" t="n"/>
      <c r="CJ44" s="12" t="n"/>
      <c r="CK44" s="12" t="n"/>
      <c r="CL44" s="12" t="n"/>
      <c r="CM44" s="12" t="n"/>
      <c r="CN44" s="12" t="n"/>
      <c r="CO44" s="12" t="n"/>
      <c r="CP44" s="12" t="n"/>
      <c r="CQ44" s="12" t="n"/>
      <c r="CR44" s="12" t="n"/>
      <c r="CS44" s="12" t="n"/>
    </row>
    <row r="45">
      <c r="A45" s="10" t="n">
        <v>44</v>
      </c>
      <c r="B45" s="10" t="inlineStr">
        <is>
          <t>Estatal</t>
        </is>
      </c>
      <c r="C45" s="10" t="inlineStr">
        <is>
          <t>Estado</t>
        </is>
      </c>
      <c r="D45" s="10" t="inlineStr">
        <is>
          <t>Sánchez</t>
        </is>
      </c>
      <c r="E45" s="10" t="inlineStr">
        <is>
          <t>Autoridad Independiente para la Igualdad de Trato y la No Discriminación</t>
        </is>
      </c>
      <c r="F45" s="10" t="inlineStr">
        <is>
          <t>Autoridad nueva; estatuto julio 2026</t>
        </is>
      </c>
      <c r="G45" s="10" t="inlineStr">
        <is>
          <t>2022-07-12</t>
        </is>
      </c>
      <c r="H45" s="10" t="inlineStr">
        <is>
          <t>Ley 15/2022, art.40; RD 606/2026</t>
        </is>
      </c>
      <c r="I45" s="10" t="inlineStr">
        <is>
          <t>Asistir a víctimas, investigar discriminación, mediar, litigar y emitir informes preceptivos.</t>
        </is>
      </c>
      <c r="J45" s="10" t="inlineStr">
        <is>
          <t>Juicio: Poder jurídico real, distinto del de un regulador sancionador general: investiga, puede acudir a tribunales y la mediación aceptada vincula. Solicita sanciones a la administración competente.</t>
        </is>
      </c>
      <c r="K45" s="11" t="n"/>
      <c r="L45" s="10" t="n"/>
      <c r="M45" s="10" t="n"/>
      <c r="N45" s="10" t="n"/>
      <c r="O45" s="10" t="inlineStr">
        <is>
          <t>Sin cifra propia actual verificada</t>
        </is>
      </c>
      <c r="P45" s="12" t="n"/>
      <c r="Q45" s="12" t="n"/>
      <c r="R45" s="10" t="inlineStr">
        <is>
          <t>No se ha identificado un crédito propio separado en los cuadros iniciales ni en IGAE agosto consultados. El estatuto dispone financiación provisional con créditos de Igualdad, sin afectar al Instituto de las Mujeres. Importe individual no verificado.</t>
        </is>
      </c>
      <c r="S45" s="10" t="inlineStr">
        <is>
          <t>31/08/2026 para IGAE; consulta 11/10/2026 para normas y actividad</t>
        </is>
      </c>
      <c r="T45" s="10" t="inlineStr">
        <is>
          <t>Creación acreditada; continuidad legal revisada, sin auditoría completa de actividad.</t>
        </is>
      </c>
      <c r="U45" s="10" t="inlineStr">
        <is>
          <t>Poder legal no es prueba de capacidad desplegada. Faltan presupuesto propio vigente, plantilla ocupada y resultados de expedientes.</t>
        </is>
      </c>
      <c r="V45" s="10" t="inlineStr">
        <is>
          <t>No se ha identificado relación en esta revisión (no certifica ausencia)</t>
        </is>
      </c>
      <c r="W45" s="10" t="n"/>
      <c r="X45" s="10" t="inlineStr">
        <is>
          <t>Revisión cualitativa del mandato y estado de las 95 fichas; no auditoría exhaustiva de funciones ni proyectos.</t>
        </is>
      </c>
      <c r="Y45" s="10" t="n"/>
      <c r="Z45" s="10" t="inlineStr">
        <is>
          <t>https://www.boe.es/diario_boe/txt.php?id=BOE-A-2026-16172
https://boe.es/diario_boe/txt.php?id=BOE-A-2026-19049</t>
        </is>
      </c>
      <c r="AA45" s="12" t="n"/>
      <c r="AB45" s="10" t="n"/>
      <c r="AC45" s="10" t="n"/>
      <c r="AD45" s="10" t="n"/>
      <c r="AE45" s="13" t="inlineStr">
        <is>
          <t>https://files.instinct.com/q91pr53q4umo-entidades-publicas-poder-y-presupuesto</t>
        </is>
      </c>
      <c r="AF45" s="10" t="inlineStr">
        <is>
          <t>12/10/2026</t>
        </is>
      </c>
      <c r="AG45" s="10" t="n"/>
      <c r="AH45" s="10" t="n"/>
      <c r="AI45" s="10" t="inlineStr">
        <is>
          <t>Personas realmente ocupadas; no equiparar vocales, puestos RPT o apoyo ministerial con plantilla</t>
        </is>
      </c>
      <c r="AJ45" s="10" t="inlineStr">
        <is>
          <t>Pendiente: sin cifra de personal ocupado verificada en el conjunto actual</t>
        </is>
      </c>
      <c r="AK45" s="10" t="n"/>
      <c r="AL45" s="12" t="n"/>
      <c r="AM45" s="10" t="n"/>
      <c r="AN45" s="10" t="n"/>
      <c r="AO45" s="10" t="inlineStr">
        <is>
          <t>Pendiente: sin coste de personal individual verificado en el conjunto actual</t>
        </is>
      </c>
      <c r="AP45" s="10" t="n"/>
      <c r="AQ45" s="12" t="n"/>
      <c r="AR45" s="10" t="n"/>
      <c r="AS45" s="10" t="n"/>
      <c r="AT45" s="10" t="n"/>
      <c r="AU45" s="10" t="n"/>
      <c r="AV45" s="10" t="inlineStr">
        <is>
          <t>Pendiente: no se ha verificado gasto salarial ejecutado individual en esta versión</t>
        </is>
      </c>
      <c r="AW45" s="10" t="inlineStr">
        <is>
          <t>SIN CIFRA INDIVIDUAL IDENTIFICADA de presupuesto, personal ocupado y salarios ejecutados en fuentes revisadas. No significa cero ni prueba de que nada esté publicado.</t>
        </is>
      </c>
      <c r="AX45" s="14" t="n"/>
      <c r="AY45" s="14" t="n"/>
      <c r="AZ45" s="14" t="n"/>
      <c r="BA45" s="14" t="n"/>
      <c r="BB45" s="14" t="inlineStr">
        <is>
          <t>Apoyo ministerial/departamental indicado en el lote y norma de la ficha; gasto individual no desglosado verificado. No repartir gasto total del ministerio. Financiación provisional con créditos del Ministerio de Igualdad (estatuto)</t>
        </is>
      </c>
      <c r="BC45" s="10" t="inlineStr">
        <is>
          <t>Revisado: dictamen preceptivo AAI igualdad</t>
        </is>
      </c>
      <c r="BD45" s="10" t="inlineStr">
        <is>
          <t>Sí: disposiciones generales de desarrolloLey15/2022 y otras disposiciones, procedimientos, planes y estrategias que afecten igualdad.</t>
        </is>
      </c>
      <c r="BE45" s="10" t="inlineStr">
        <is>
          <t>No se exige consentimiento favorable ni carácter vinculante del informe en la cláusula citada; no es veto.</t>
        </is>
      </c>
      <c r="BF45" s="10" t="inlineStr">
        <is>
          <t>Mediación vinculante para partes (art4e) NO vinculación del dictamen normativo. Trámite previo en ámbito específico. Omitirlo puede generar cuestión procedimental, no veto parlamentario automático; efecto exacto requiere analizar procedimiento.</t>
        </is>
      </c>
      <c r="BG45" s="10" t="inlineStr">
        <is>
          <t>RD606/2026 art4l (y4e para distinción)</t>
        </is>
      </c>
      <c r="BH45" s="10" t="inlineStr">
        <is>
          <t>https://www.boe.es/diario_boe/txt.php?id=BOE-A-2026-16172</t>
        </is>
      </c>
      <c r="BI45" s="12" t="n"/>
      <c r="BJ45" s="12" t="n"/>
      <c r="BK45" s="12" t="n"/>
      <c r="BL45" s="12" t="n"/>
      <c r="BM45" s="10" t="n"/>
      <c r="BN45" s="10" t="n"/>
      <c r="BO45" s="12" t="n"/>
      <c r="BP45" s="12" t="n"/>
      <c r="BQ45" s="12" t="n"/>
      <c r="BR45" s="12" t="n"/>
      <c r="BS45" s="12" t="n"/>
      <c r="BT45" s="12" t="n"/>
      <c r="BU45" s="12" t="n"/>
      <c r="BV45" s="27" t="inlineStr">
        <is>
          <t>No útil</t>
        </is>
      </c>
      <c r="BW45" s="27" t="inlineStr">
        <is>
          <t>Integrar</t>
        </is>
      </c>
      <c r="BX45" s="27" t="inlineStr">
        <is>
          <t>Control interno y cumplimiento</t>
        </is>
      </c>
      <c r="BY45" s="12" t="n"/>
      <c r="BZ45" s="27" t="inlineStr">
        <is>
          <t>Sí: las directivas de igualdad de trato exigen un organismo de igualdad</t>
        </is>
      </c>
      <c r="CA45" s="27" t="inlineStr">
        <is>
          <t>No acreditada</t>
        </is>
      </c>
      <c r="CB45" s="27" t="inlineStr">
        <is>
          <t>El P100 la suprime porque duplica funciones de otros organismos; sus garantías pasan al Defensor del Pueblo.</t>
        </is>
      </c>
      <c r="CC45" s="27" t="inlineStr">
        <is>
          <t>Explícito en el P100: Derogar el sanchismo; Organización del Estado 5</t>
        </is>
      </c>
      <c r="CD45" s="27" t="inlineStr">
        <is>
          <t>Defensor del Pueblo</t>
        </is>
      </c>
      <c r="CE45" s="27" t="inlineStr">
        <is>
          <t>Igualdad de trato y no discriminación</t>
        </is>
      </c>
      <c r="CF45" s="12" t="n"/>
      <c r="CG45" s="12" t="n"/>
      <c r="CH45" s="29">
        <f>IF(AND(ISNUMBER(BP45),ISNUMBER(AG45),AG45&gt;0),BP45*1000000/AG45,"")</f>
        <v/>
      </c>
      <c r="CI45" s="12" t="n"/>
      <c r="CJ45" s="12" t="n"/>
      <c r="CK45" s="12" t="n"/>
      <c r="CL45" s="12" t="n"/>
      <c r="CM45" s="12" t="n"/>
      <c r="CN45" s="12" t="n"/>
      <c r="CO45" s="12" t="n"/>
      <c r="CP45" s="12" t="n"/>
      <c r="CQ45" s="12" t="n"/>
      <c r="CR45" s="12" t="n"/>
      <c r="CS45" s="12" t="n"/>
    </row>
    <row r="46">
      <c r="A46" s="10" t="n">
        <v>45</v>
      </c>
      <c r="B46" s="10" t="inlineStr">
        <is>
          <t>Estatal</t>
        </is>
      </c>
      <c r="C46" s="10" t="inlineStr">
        <is>
          <t>Estado</t>
        </is>
      </c>
      <c r="D46" s="10" t="inlineStr">
        <is>
          <t>Sánchez</t>
        </is>
      </c>
      <c r="E46" s="10" t="inlineStr">
        <is>
          <t>Agencia Estatal de Evaluación de Políticas Públicas</t>
        </is>
      </c>
      <c r="F46" s="10" t="inlineStr">
        <is>
          <t>Nueva personalidad jurídica; reemplaza al Instituto para la Evaluación de Políticas Públicas</t>
        </is>
      </c>
      <c r="G46" s="10" t="inlineStr">
        <is>
          <t>2022-12-20</t>
        </is>
      </c>
      <c r="H46" s="10" t="inlineStr">
        <is>
          <t>Ley 27/2022, art.29; RD 65/2026</t>
        </is>
      </c>
      <c r="I46" s="10" t="inlineStr">
        <is>
          <t>Evaluar políticas, estandarizar métodos y coordinar el sistema público de evaluación.</t>
        </is>
      </c>
      <c r="J46" s="10" t="inlineStr">
        <is>
          <t>Juicio: Capacidad técnica e institucional, no veto de políticas ni potestad general para sancionar su fracaso. Constituida 24/04/2026; directora nombrada.</t>
        </is>
      </c>
      <c r="K46" s="11" t="n"/>
      <c r="L46" s="10" t="n"/>
      <c r="M46" s="10" t="n"/>
      <c r="N46" s="10" t="n"/>
      <c r="O46" s="10" t="inlineStr">
        <is>
          <t>Sin cifra propia actual verificada</t>
        </is>
      </c>
      <c r="P46" s="12" t="n"/>
      <c r="Q46" s="12" t="n"/>
      <c r="R46" s="10" t="inlineStr">
        <is>
          <t>No se ha localizado crédito propio separado en los cuadros consultados. Régimen transitorio: gastos con cargo a la Secretaría de Estado de la que dependía el Instituto precedente. No cuantificado.</t>
        </is>
      </c>
      <c r="S46" s="10" t="inlineStr">
        <is>
          <t>31/08/2026 para IGAE; consulta 11/10/2026 para normas y actividad</t>
        </is>
      </c>
      <c r="T46" s="10" t="inlineStr">
        <is>
          <t>Consejo Rector constituido 24/04/2026. Sustitución del Instituto, no recuperación sin antecedentes.</t>
        </is>
      </c>
      <c r="U46" s="10" t="inlineStr">
        <is>
          <t>Directora María Milagros Paniagua San Martín. No se ha auditado su primer plan ni plantilla. El RD suprime el Instituto al constituirse la agencia, no la función evaluadora.</t>
        </is>
      </c>
      <c r="V46" s="10" t="inlineStr">
        <is>
          <t>Sucesión funcional histórica</t>
        </is>
      </c>
      <c r="W46" s="10" t="inlineStr">
        <is>
          <t>1</t>
        </is>
      </c>
      <c r="X46" s="10" t="inlineStr">
        <is>
          <t>AEVAL fue suprimida en 2017 y sus funciones reubicadas; la agencia de 2026 sucede al Instituto intermedio. No son dos presupuestos actuales de la misma agencia.</t>
        </is>
      </c>
      <c r="Y46" s="10" t="inlineStr">
        <is>
          <t>https://www.boe.es/buscar/act.php?id=BOE-A-2006-21902
https://www.boe.es/diario_boe/txt.php?id=BOE-A-2010-15779
https://www.boe.es/diario_boe/txt.php?id=BOE-A-2026-2553
https://www.boe.es/boe/dias/2026/05/12/pdfs/BOE-A-2026-10246.pdf</t>
        </is>
      </c>
      <c r="Z46" s="10" t="inlineStr">
        <is>
          <t>https://www.boe.es/diario_boe/txt.php?id=BOE-A-2026-2553
https://www.boe.es/boe/dias/2026/05/12/pdfs/BOE-A-2026-10246.pdf</t>
        </is>
      </c>
      <c r="AA46" s="12" t="n"/>
      <c r="AB46" s="10" t="n"/>
      <c r="AC46" s="10" t="n"/>
      <c r="AD46" s="10" t="n"/>
      <c r="AE46" s="13" t="inlineStr">
        <is>
          <t>https://files.instinct.com/q91pr53q4umo-entidades-publicas-poder-y-presupuesto</t>
        </is>
      </c>
      <c r="AF46" s="10" t="inlineStr">
        <is>
          <t>12/10/2026</t>
        </is>
      </c>
      <c r="AG46" s="10" t="n"/>
      <c r="AH46" s="10" t="n"/>
      <c r="AI46" s="10" t="inlineStr">
        <is>
          <t>Personas realmente ocupadas; no equiparar vocales, puestos RPT o apoyo ministerial con plantilla</t>
        </is>
      </c>
      <c r="AJ46" s="10" t="inlineStr">
        <is>
          <t>Pendiente: sin cifra de personal ocupado verificada en el conjunto actual</t>
        </is>
      </c>
      <c r="AK46" s="10" t="n"/>
      <c r="AL46" s="12" t="n"/>
      <c r="AM46" s="10" t="n"/>
      <c r="AN46" s="10" t="n"/>
      <c r="AO46" s="10" t="inlineStr">
        <is>
          <t>Pendiente: sin coste de personal individual verificado en el conjunto actual</t>
        </is>
      </c>
      <c r="AP46" s="10" t="n"/>
      <c r="AQ46" s="12" t="n"/>
      <c r="AR46" s="10" t="n"/>
      <c r="AS46" s="10" t="n"/>
      <c r="AT46" s="10" t="n"/>
      <c r="AU46" s="10" t="n"/>
      <c r="AV46" s="10" t="inlineStr">
        <is>
          <t>Pendiente: no se ha verificado gasto salarial ejecutado individual en esta versión</t>
        </is>
      </c>
      <c r="AW46" s="10" t="inlineStr">
        <is>
          <t>SIN CIFRA INDIVIDUAL IDENTIFICADA de presupuesto, personal ocupado y salarios ejecutados en fuentes revisadas. No significa cero ni prueba de que nada esté publicado.</t>
        </is>
      </c>
      <c r="AX46" s="14" t="n"/>
      <c r="AY46" s="14" t="n"/>
      <c r="AZ46" s="14" t="n"/>
      <c r="BA46" s="14" t="n"/>
      <c r="BB46" s="14" t="inlineStr">
        <is>
          <t>Apoyo ministerial/departamental indicado en el lote y norma de la ficha; gasto individual no desglosado verificado. No repartir gasto total del ministerio. Régimen transitorio: gastos con cargo a la Secretaría de Estado precedente</t>
        </is>
      </c>
      <c r="BC46" s="10" t="inlineStr">
        <is>
          <t>Revisado: agencia evaluación2026</t>
        </is>
      </c>
      <c r="BD46" s="10" t="inlineStr">
        <is>
          <t>Sí: regulación específica evaluación actividades art3.4Ley27/2022. Otros informes sobre normas/planes antes aprobar: a solicitud.</t>
        </is>
      </c>
      <c r="BE46" s="10" t="inlineStr">
        <is>
          <t>No se exige consentimiento favorable ni carácter vinculante del informe en la cláusula citada; no es veto.</t>
        </is>
      </c>
      <c r="BF46" s="10" t="inlineStr">
        <is>
          <t>Trámite previo en ámbito específico. Omitirlo puede generar cuestión procedimental, no veto parlamentario automático; efecto exacto requiere analizar procedimiento.</t>
        </is>
      </c>
      <c r="BG46" s="10" t="inlineStr">
        <is>
          <t>RD65/2026 art11p y art26n; Ley27/2022 art3.4</t>
        </is>
      </c>
      <c r="BH46" s="10" t="inlineStr">
        <is>
          <t>https://www.boe.es/diario_boe/txt.php?id=BOE-A-2026-2553</t>
        </is>
      </c>
      <c r="BI46" s="12" t="n"/>
      <c r="BJ46" s="12" t="n"/>
      <c r="BK46" s="12" t="n"/>
      <c r="BL46" s="12" t="n"/>
      <c r="BM46" s="10" t="n"/>
      <c r="BN46" s="10" t="n"/>
      <c r="BO46" s="12" t="n"/>
      <c r="BP46" s="12" t="n"/>
      <c r="BQ46" s="12" t="n"/>
      <c r="BR46" s="12" t="n"/>
      <c r="BS46" s="12" t="n"/>
      <c r="BT46" s="12" t="n"/>
      <c r="BU46" s="12" t="n"/>
      <c r="BV46" s="27" t="inlineStr">
        <is>
          <t>No útil</t>
        </is>
      </c>
      <c r="BW46" s="27" t="inlineStr">
        <is>
          <t>Integrar</t>
        </is>
      </c>
      <c r="BX46" s="27" t="inlineStr">
        <is>
          <t>Control interno y cumplimiento</t>
        </is>
      </c>
      <c r="BY46" s="27" t="inlineStr">
        <is>
          <t>Organismo estatal de referencia. 2 comunidades tienen el suyo propio; 3 organismos sobre este tema entre el Estado y las CCAA (verificados).</t>
        </is>
      </c>
      <c r="BZ46" s="27" t="inlineStr">
        <is>
          <t>No</t>
        </is>
      </c>
      <c r="CA46" s="27" t="inlineStr">
        <is>
          <t>Parcial</t>
        </is>
      </c>
      <c r="CB46" s="27" t="inlineStr">
        <is>
          <t>Evalúa políticas públicas, la misma función que el P100 encarga a la AIReF.</t>
        </is>
      </c>
      <c r="CC46" s="27" t="inlineStr">
        <is>
          <t>Aplicando el criterio del P100: Costes del Estado 1 y 12</t>
        </is>
      </c>
      <c r="CD46" s="27" t="inlineStr">
        <is>
          <t>Autoridad Independiente de Responsabilidad Fiscal (AIReF)</t>
        </is>
      </c>
      <c r="CE46" s="27" t="inlineStr">
        <is>
          <t>Evaluación de políticas públicas</t>
        </is>
      </c>
      <c r="CF46" s="28" t="n">
        <v>3</v>
      </c>
      <c r="CG46" s="12" t="n"/>
      <c r="CH46" s="29">
        <f>IF(AND(ISNUMBER(BP46),ISNUMBER(AG46),AG46&gt;0),BP46*1000000/AG46,"")</f>
        <v/>
      </c>
      <c r="CI46" s="12" t="n"/>
      <c r="CJ46" s="12" t="n"/>
      <c r="CK46" s="12" t="n"/>
      <c r="CL46" s="12" t="n"/>
      <c r="CM46" s="12" t="n"/>
      <c r="CN46" s="12" t="n"/>
      <c r="CO46" s="12" t="n"/>
      <c r="CP46" s="12" t="n"/>
      <c r="CQ46" s="12" t="n"/>
      <c r="CR46" s="12" t="n"/>
      <c r="CS46" s="12" t="n"/>
    </row>
    <row r="47">
      <c r="A47" s="10" t="n">
        <v>46</v>
      </c>
      <c r="B47" s="10" t="inlineStr">
        <is>
          <t>Estatal</t>
        </is>
      </c>
      <c r="C47" s="10" t="inlineStr">
        <is>
          <t>Estado</t>
        </is>
      </c>
      <c r="D47" s="10" t="inlineStr">
        <is>
          <t>Sánchez</t>
        </is>
      </c>
      <c r="E47" s="10" t="inlineStr">
        <is>
          <t>Agencia Estatal de Salud Pública (AESAP)</t>
        </is>
      </c>
      <c r="F47" s="10" t="inlineStr">
        <is>
          <t>Creación legal nueva con antecedente de centro previsto en Ley 33/2011</t>
        </is>
      </c>
      <c r="G47" s="10" t="inlineStr">
        <is>
          <t>2025-07-28</t>
        </is>
      </c>
      <c r="H47" s="10" t="inlineStr">
        <is>
          <t>Ley 7/2025</t>
        </is>
      </c>
      <c r="I47" s="10" t="inlineStr">
        <is>
          <t>Vigilancia de salud pública, evaluación de amenazas, preparación y respuesta sanitaria, información y asesoramiento.</t>
        </is>
      </c>
      <c r="J47" s="10" t="inlineStr">
        <is>
          <t>Juicio: Mandato sustantivo, pero despliegue efectivo no acreditado en esta revisión. No confundir ley y sede elegida con una agencia plenamente operativa.</t>
        </is>
      </c>
      <c r="K47" s="11" t="n"/>
      <c r="L47" s="10" t="n"/>
      <c r="M47" s="10" t="n"/>
      <c r="N47" s="10" t="n"/>
      <c r="O47" s="10" t="inlineStr">
        <is>
          <t>Sin cifra propia actual verificada</t>
        </is>
      </c>
      <c r="P47" s="12" t="n"/>
      <c r="Q47" s="12" t="n"/>
      <c r="R47" s="10" t="inlineStr">
        <is>
          <t>Sin presupuesto propio individual identificado en los cuadros consultados. No se atribuye a la agencia toda la inversión de vigilancia sanitaria ni todo el presupuesto de Sanidad.</t>
        </is>
      </c>
      <c r="S47" s="10" t="inlineStr">
        <is>
          <t>31/08/2026 para IGAE; consulta 11/10/2026 para normas y actividad</t>
        </is>
      </c>
      <c r="T47" s="10" t="inlineStr">
        <is>
          <t>Creación acreditada; continuidad legal revisada, sin auditoría completa de actividad.</t>
        </is>
      </c>
      <c r="U47" s="10" t="inlineStr">
        <is>
          <t>Sede Zaragoza fijada 28/07/2026. No se ha localizado en esta revisión su estatuto aprobado, plantilla efectiva y crédito propio; su ausencia en una búsqueda no prueba inexistencia.</t>
        </is>
      </c>
      <c r="V47" s="10" t="inlineStr">
        <is>
          <t>No se ha identificado relación en esta revisión (no certifica ausencia)</t>
        </is>
      </c>
      <c r="W47" s="10" t="n"/>
      <c r="X47" s="10" t="inlineStr">
        <is>
          <t>Revisión cualitativa del mandato y estado de las 95 fichas; no auditoría exhaustiva de funciones ni proyectos.</t>
        </is>
      </c>
      <c r="Y47" s="10" t="n"/>
      <c r="Z47" s="10" t="inlineStr">
        <is>
          <t>https://www.boe.es/eli/es/l/2025/07/28/7
https://www.boe.es/diario_boe/txt.php?id=BOE-A-2026-16527</t>
        </is>
      </c>
      <c r="AA47" s="12" t="n"/>
      <c r="AB47" s="10" t="n"/>
      <c r="AC47" s="10" t="n"/>
      <c r="AD47" s="10" t="n"/>
      <c r="AE47" s="13" t="inlineStr">
        <is>
          <t>https://files.instinct.com/q91pr53q4umo-entidades-publicas-poder-y-presupuesto</t>
        </is>
      </c>
      <c r="AF47" s="10" t="inlineStr">
        <is>
          <t>12/10/2026</t>
        </is>
      </c>
      <c r="AG47" s="10" t="n"/>
      <c r="AH47" s="10" t="n"/>
      <c r="AI47" s="10" t="inlineStr">
        <is>
          <t>Personas realmente ocupadas; no equiparar vocales, puestos RPT o apoyo ministerial con plantilla</t>
        </is>
      </c>
      <c r="AJ47" s="10" t="inlineStr">
        <is>
          <t>Pendiente: sin cifra de personal ocupado verificada en el conjunto actual</t>
        </is>
      </c>
      <c r="AK47" s="10" t="n"/>
      <c r="AL47" s="12" t="n"/>
      <c r="AM47" s="10" t="n"/>
      <c r="AN47" s="10" t="n"/>
      <c r="AO47" s="10" t="inlineStr">
        <is>
          <t>Pendiente: sin coste de personal individual verificado en el conjunto actual</t>
        </is>
      </c>
      <c r="AP47" s="10" t="n"/>
      <c r="AQ47" s="12" t="n"/>
      <c r="AR47" s="10" t="n"/>
      <c r="AS47" s="10" t="n"/>
      <c r="AT47" s="10" t="n"/>
      <c r="AU47" s="10" t="n"/>
      <c r="AV47" s="10" t="inlineStr">
        <is>
          <t>Pendiente: no se ha verificado gasto salarial ejecutado individual en esta versión</t>
        </is>
      </c>
      <c r="AW47" s="10" t="inlineStr">
        <is>
          <t>SIN CIFRA INDIVIDUAL IDENTIFICADA de presupuesto, personal ocupado y salarios ejecutados en fuentes revisadas. No significa cero ni prueba de que nada esté publicado.</t>
        </is>
      </c>
      <c r="AX47" s="14" t="n"/>
      <c r="AY47" s="14" t="n"/>
      <c r="AZ47" s="14" t="n"/>
      <c r="BA47" s="14" t="n"/>
      <c r="BB47" s="14" t="inlineStr">
        <is>
          <t>Apoyo ministerial/departamental indicado en el lote y norma de la ficha; gasto individual no desglosado verificado. No repartir gasto total del ministerio. Medios del Ministerio de Sanidad en fase de constitución</t>
        </is>
      </c>
      <c r="BC47" s="10" t="inlineStr">
        <is>
          <t>Revisado: AESAP: asesoramiento y análisis sanitario</t>
        </is>
      </c>
      <c r="BD47" s="10" t="inlineStr">
        <is>
          <t>Ley de creación atribuye evaluación, recomendaciones e informes sanitarios; no trámite normativo general. Informes preceptivos AEPD/CISNS en esta ley pertenecen a otros órganos. Estatuto/operación no confirmados.</t>
        </is>
      </c>
      <c r="BE47" s="10" t="inlineStr">
        <is>
          <t>No consentimiento favorable ni veto legislativo establecido en las cláusulas revisadas.</t>
        </is>
      </c>
      <c r="BF47" s="10" t="inlineStr">
        <is>
          <t>Revisión limitada a las atribuciones citadas: no descarta trámites sectoriales en otras normas.</t>
        </is>
      </c>
      <c r="BG47" s="10" t="inlineStr">
        <is>
          <t>Ley7/2025 art2</t>
        </is>
      </c>
      <c r="BH47" s="10" t="inlineStr">
        <is>
          <t>https://www.boe.es/eli/es/l/2025/07/28/7/con</t>
        </is>
      </c>
      <c r="BI47" s="12" t="n"/>
      <c r="BJ47" s="12" t="n"/>
      <c r="BK47" s="12" t="n"/>
      <c r="BL47" s="12" t="n"/>
      <c r="BM47" s="10" t="n"/>
      <c r="BN47" s="10" t="n"/>
      <c r="BO47" s="12" t="n"/>
      <c r="BP47" s="12" t="n"/>
      <c r="BQ47" s="12" t="n"/>
      <c r="BR47" s="12" t="n"/>
      <c r="BS47" s="12" t="n"/>
      <c r="BT47" s="12" t="n"/>
      <c r="BU47" s="12" t="n"/>
      <c r="BV47" s="27" t="inlineStr">
        <is>
          <t>Sin decisión en el P100</t>
        </is>
      </c>
      <c r="BW47" s="27" t="inlineStr">
        <is>
          <t>Pendiente de decisión</t>
        </is>
      </c>
      <c r="BX47" s="27" t="inlineStr">
        <is>
          <t>Servicio público directo</t>
        </is>
      </c>
      <c r="BY47" s="27" t="inlineStr">
        <is>
          <t>Organismo estatal de referencia. 4 comunidades tienen el suyo propio; 5 organismos sobre este tema entre el Estado y las CCAA (verificados).</t>
        </is>
      </c>
      <c r="BZ47" s="27" t="inlineStr">
        <is>
          <t>No</t>
        </is>
      </c>
      <c r="CA47" s="27" t="inlineStr">
        <is>
          <t>No acreditada</t>
        </is>
      </c>
      <c r="CB47" s="27" t="inlineStr">
        <is>
          <t>Agencia de salud pública creada en 2025, sin presupuesto ni actividad acreditada; el Ministerio ya tiene vigilancia y alertas sanitarias.</t>
        </is>
      </c>
      <c r="CC47" s="27" t="inlineStr">
        <is>
          <t>El P100 aún no tiene apartado de Sanidad</t>
        </is>
      </c>
      <c r="CD47" s="27" t="inlineStr">
        <is>
          <t>Ministerio de Sanidad (criterio Costes del Estado 9)</t>
        </is>
      </c>
      <c r="CE47" s="27" t="inlineStr">
        <is>
          <t>Agencias de salud pública</t>
        </is>
      </c>
      <c r="CF47" s="28" t="n">
        <v>5</v>
      </c>
      <c r="CG47" s="12" t="n"/>
      <c r="CH47" s="29">
        <f>IF(AND(ISNUMBER(BP47),ISNUMBER(AG47),AG47&gt;0),BP47*1000000/AG47,"")</f>
        <v/>
      </c>
      <c r="CI47" s="12" t="n"/>
      <c r="CJ47" s="12" t="n"/>
      <c r="CK47" s="12" t="n"/>
      <c r="CL47" s="12" t="n"/>
      <c r="CM47" s="12" t="n"/>
      <c r="CN47" s="12" t="n"/>
      <c r="CO47" s="12" t="n"/>
      <c r="CP47" s="12" t="n"/>
      <c r="CQ47" s="12" t="n"/>
      <c r="CR47" s="12" t="n"/>
      <c r="CS47" s="12" t="n"/>
    </row>
    <row r="48">
      <c r="A48" s="10" t="n">
        <v>47</v>
      </c>
      <c r="B48" s="10" t="inlineStr">
        <is>
          <t>Estatal</t>
        </is>
      </c>
      <c r="C48" s="10" t="inlineStr">
        <is>
          <t>Estado</t>
        </is>
      </c>
      <c r="D48" s="10" t="inlineStr">
        <is>
          <t>Sánchez</t>
        </is>
      </c>
      <c r="E48" s="10" t="inlineStr">
        <is>
          <t>Observatorio del Comercio 4.0</t>
        </is>
      </c>
      <c r="F48" s="10" t="inlineStr">
        <is>
          <t>Órgano colegiado; suprime el Observatorio de Pagos con Tarjeta Electrónica</t>
        </is>
      </c>
      <c r="G48" s="10" t="inlineStr">
        <is>
          <t>2018-10-11</t>
        </is>
      </c>
      <c r="H48" s="10" t="inlineStr">
        <is>
          <t>Acuerdo CM 11/10/2018, publicado 25/10/2018</t>
        </is>
      </c>
      <c r="I48" s="10" t="inlineStr">
        <is>
          <t>Analizar digitalización y omnicanalidad del comercio; foro, estudios y propuestas de formación.</t>
        </is>
      </c>
      <c r="J48" s="10" t="inlineStr">
        <is>
          <t>Juicio: Consultivo, sin poder normativo ni sanción propios. La norma contempla informes no preceptivos; funcionamiento actual no auditado.</t>
        </is>
      </c>
      <c r="K48" s="11" t="n"/>
      <c r="L48" s="10" t="n"/>
      <c r="M48" s="10" t="n"/>
      <c r="N48" s="10" t="n"/>
      <c r="O48" s="10" t="inlineStr">
        <is>
          <t>Sin cifra propia actual verificada</t>
        </is>
      </c>
      <c r="P48" s="12" t="n"/>
      <c r="Q48" s="12" t="n"/>
      <c r="R48" s="10" t="inlineStr">
        <is>
          <t>Sin línea presupuestaria individual identificada en los tomos oficiales de prórroga consultados. La norma dispone medios del departamento; coste individual no cuantificado. No significa 0 EUR.</t>
        </is>
      </c>
      <c r="S48" s="10" t="inlineStr">
        <is>
          <t>31/08/2026 para IGAE; consulta 11/10/2026 para normas y actividad</t>
        </is>
      </c>
      <c r="T48" s="10" t="inlineStr">
        <is>
          <t>Creado 2018. Antecesor de pagos con tarjeta suprimido por este acuerdo.</t>
        </is>
      </c>
      <c r="U48" s="10" t="inlineStr">
        <is>
          <t>El antecesor de pagos (2006-2018) se suprime: no contar ambos como dos entidades vigentes.</t>
        </is>
      </c>
      <c r="V48" s="10" t="inlineStr">
        <is>
          <t>No se ha identificado relación en esta revisión (no certifica ausencia)</t>
        </is>
      </c>
      <c r="W48" s="10" t="n"/>
      <c r="X48" s="10" t="inlineStr">
        <is>
          <t>Revisión cualitativa del mandato y estado de las 95 fichas; no auditoría exhaustiva de funciones ni proyectos.</t>
        </is>
      </c>
      <c r="Y48" s="10" t="n"/>
      <c r="Z48" s="10" t="inlineStr">
        <is>
          <t>https://www.boe.es/diario_boe/txt.php?id=BOE-A-2018-15776</t>
        </is>
      </c>
      <c r="AA48" s="12" t="n"/>
      <c r="AB48" s="10" t="n"/>
      <c r="AC48" s="10" t="n"/>
      <c r="AD48" s="10" t="n"/>
      <c r="AE48" s="13" t="inlineStr">
        <is>
          <t>https://files.instinct.com/q91pr53q4umo-entidades-publicas-poder-y-presupuesto</t>
        </is>
      </c>
      <c r="AF48" s="10" t="inlineStr">
        <is>
          <t>12/10/2026</t>
        </is>
      </c>
      <c r="AG48" s="10" t="n"/>
      <c r="AH48" s="10" t="n"/>
      <c r="AI48" s="10" t="inlineStr">
        <is>
          <t>Personas realmente ocupadas; no equiparar vocales, puestos RPT o apoyo ministerial con plantilla</t>
        </is>
      </c>
      <c r="AJ48" s="10" t="inlineStr">
        <is>
          <t>Pendiente: sin cifra de personal ocupado verificada en el conjunto actual</t>
        </is>
      </c>
      <c r="AK48" s="10" t="n"/>
      <c r="AL48" s="12" t="n"/>
      <c r="AM48" s="10" t="n"/>
      <c r="AN48" s="10" t="n"/>
      <c r="AO48" s="10" t="inlineStr">
        <is>
          <t>Pendiente: sin coste de personal individual verificado en el conjunto actual</t>
        </is>
      </c>
      <c r="AP48" s="10" t="n"/>
      <c r="AQ48" s="12" t="n"/>
      <c r="AR48" s="10" t="n"/>
      <c r="AS48" s="10" t="n"/>
      <c r="AT48" s="10" t="n"/>
      <c r="AU48" s="10" t="n"/>
      <c r="AV48" s="10" t="inlineStr">
        <is>
          <t>Pendiente: no se ha verificado gasto salarial ejecutado individual en esta versión</t>
        </is>
      </c>
      <c r="AW48" s="10" t="inlineStr">
        <is>
          <t>SIN CIFRA INDIVIDUAL IDENTIFICADA de presupuesto, personal ocupado y salarios ejecutados en fuentes revisadas. No significa cero ni prueba de que nada esté publicado.</t>
        </is>
      </c>
      <c r="AX48" s="14" t="n"/>
      <c r="AY48" s="14" t="n"/>
      <c r="AZ48" s="14" t="n"/>
      <c r="BA48" s="14" t="n"/>
      <c r="BB48" s="14" t="inlineStr">
        <is>
          <t>Apoyo ministerial/departamental indicado en el lote y norma de la ficha; gasto individual no desglosado verificado. No repartir gasto total del ministerio. Medios del Ministerio de Industria y Turismo (norma: sin incremento de gasto)</t>
        </is>
      </c>
      <c r="BC48" s="10" t="inlineStr">
        <is>
          <t>Estudios y foro sobre regulación comercial</t>
        </is>
      </c>
      <c r="BD48" s="10" t="inlineStr">
        <is>
          <t>Informes técnicos de diagnóstico expresamente NO preceptivos</t>
        </is>
      </c>
      <c r="BE48" s="10" t="inlineStr">
        <is>
          <t>No consentimiento favorable exigido en funciones revisadas</t>
        </is>
      </c>
      <c r="BF48" s="10" t="inlineStr">
        <is>
          <t>Sin veto a leyes atribuido en funciones revisadas; aportación técnica y debate regulatorio.</t>
        </is>
      </c>
      <c r="BG48" s="10" t="inlineStr">
        <is>
          <t>OrdenICT/1118/2018 apartadoTercero.4,6,7</t>
        </is>
      </c>
      <c r="BH48" s="10" t="inlineStr">
        <is>
          <t>https://www.boe.es/diario_boe/txt.php?id=BOE-A-2018-15776</t>
        </is>
      </c>
      <c r="BI48" s="12" t="n"/>
      <c r="BJ48" s="12" t="n"/>
      <c r="BK48" s="12" t="n"/>
      <c r="BL48" s="12" t="n"/>
      <c r="BM48" s="10" t="n"/>
      <c r="BN48" s="10" t="n"/>
      <c r="BO48" s="12" t="n"/>
      <c r="BP48" s="12" t="n"/>
      <c r="BQ48" s="12" t="n"/>
      <c r="BR48" s="12" t="n"/>
      <c r="BS48" s="12" t="n"/>
      <c r="BT48" s="12" t="n"/>
      <c r="BU48" s="12" t="n"/>
      <c r="BV48" s="27" t="inlineStr">
        <is>
          <t>No útil</t>
        </is>
      </c>
      <c r="BW48" s="27" t="inlineStr">
        <is>
          <t>Suprimir</t>
        </is>
      </c>
      <c r="BX48" s="27" t="inlineStr">
        <is>
          <t>Consultivo o participación</t>
        </is>
      </c>
      <c r="BY48" s="12" t="n"/>
      <c r="BZ48" s="27" t="inlineStr">
        <is>
          <t>No</t>
        </is>
      </c>
      <c r="CA48" s="27" t="inlineStr">
        <is>
          <t>Parcial</t>
        </is>
      </c>
      <c r="CB48" s="27" t="inlineStr">
        <is>
          <t>Observatorio, consejo o comisión: el P100 los cierra salvo que su ministerio demuestre que su trabajo cambia decisiones o mejora un servicio; publicar informes no cuenta.</t>
        </is>
      </c>
      <c r="CC48" s="27" t="inlineStr">
        <is>
          <t>Explícito en el P100: Costes del Estado 2</t>
        </is>
      </c>
      <c r="CD48" s="27" t="inlineStr">
        <is>
          <t>Estructura ordinaria del ministerio, si alguna función resultara imprescindible</t>
        </is>
      </c>
      <c r="CE48" s="27" t="inlineStr">
        <is>
          <t>Comercio</t>
        </is>
      </c>
      <c r="CF48" s="12" t="n"/>
      <c r="CG48" s="27" t="inlineStr">
        <is>
          <t>Apoyo: Secretaría: titular de la SG de Apoyo a la Competitividad del Pequeño Comercio (DG de Política Comercial), que gestiona los grupos de trabajo (apdos. Cuarto y Sexto); medios personales y materiales del departamento (apdo. Noveno). vocales: 20.</t>
        </is>
      </c>
      <c r="CH48" s="29">
        <f>IF(AND(ISNUMBER(BP48),ISNUMBER(AG48),AG48&gt;0),BP48*1000000/AG48,"")</f>
        <v/>
      </c>
      <c r="CI48" s="12" t="n"/>
      <c r="CJ48" s="12" t="n"/>
      <c r="CK48" s="12" t="n"/>
      <c r="CL48" s="12" t="n"/>
      <c r="CM48" s="12" t="n"/>
      <c r="CN48" s="12" t="n"/>
      <c r="CO48" s="12" t="n"/>
      <c r="CP48" s="12" t="n"/>
      <c r="CQ48" s="12" t="n"/>
      <c r="CR48" s="12" t="n"/>
      <c r="CS48" s="12" t="n"/>
    </row>
    <row r="49">
      <c r="A49" s="10" t="n">
        <v>48</v>
      </c>
      <c r="B49" s="10" t="inlineStr">
        <is>
          <t>Estatal</t>
        </is>
      </c>
      <c r="C49" s="10" t="inlineStr">
        <is>
          <t>Estado</t>
        </is>
      </c>
      <c r="D49" s="10" t="inlineStr">
        <is>
          <t>Sánchez</t>
        </is>
      </c>
      <c r="E49" s="10" t="inlineStr">
        <is>
          <t>Observatorio Mujeres, Ciencia e Innovación</t>
        </is>
      </c>
      <c r="F49" s="10" t="inlineStr">
        <is>
          <t>Órgano colegiado interministerial; no nueva creación independiente en 2020</t>
        </is>
      </c>
      <c r="G49" s="10" t="inlineStr">
        <is>
          <t>2018-11-23</t>
        </is>
      </c>
      <c r="H49" s="10" t="inlineStr">
        <is>
          <t>RD 1401/2018; regulado de nuevo por RD 938/2020</t>
        </is>
      </c>
      <c r="I49" s="10" t="inlineStr">
        <is>
          <t>Seguir desigualdad de género en I+D+i, planes de igualdad y proponer actuaciones.</t>
        </is>
      </c>
      <c r="J49" s="10" t="inlineStr">
        <is>
          <t>Juicio: Función de seguimiento y asesoramiento, sin decidir subvenciones ni sancionar. La norma fija objetivos concretos; resultados y reuniones 2026 pendientes.</t>
        </is>
      </c>
      <c r="K49" s="11" t="n"/>
      <c r="L49" s="10" t="n"/>
      <c r="M49" s="10" t="n"/>
      <c r="N49" s="10" t="n"/>
      <c r="O49" s="10" t="inlineStr">
        <is>
          <t>Sin cifra propia actual verificada</t>
        </is>
      </c>
      <c r="P49" s="12" t="n"/>
      <c r="Q49" s="12" t="n"/>
      <c r="R49" s="10" t="inlineStr">
        <is>
          <t>Sin línea presupuestaria individual identificada en los tomos oficiales de prórroga consultados. La norma dispone medios del departamento; coste individual no cuantificado. No significa 0 EUR.</t>
        </is>
      </c>
      <c r="S49" s="10" t="inlineStr">
        <is>
          <t>31/08/2026 para IGAE; consulta 11/10/2026 para normas y actividad</t>
        </is>
      </c>
      <c r="T49" s="10" t="inlineStr">
        <is>
          <t>Creación acreditada; continuidad legal revisada, sin auditoría completa de actividad.</t>
        </is>
      </c>
      <c r="U49" s="10" t="inlineStr">
        <is>
          <t>Derogar el RD 2018 al aprobar el de 2020 no es abolir el observatorio.</t>
        </is>
      </c>
      <c r="V49" s="10" t="inlineStr">
        <is>
          <t>Ámbito compartido; sector especializado</t>
        </is>
      </c>
      <c r="W49" s="10" t="inlineStr">
        <is>
          <t>21, 50</t>
        </is>
      </c>
      <c r="X49" s="10" t="inlineStr">
        <is>
          <t>Igualdad y participación: consejo general de mujeres, observatorio I+D+i y observatorio cultural. Sectores y funciones no equivalentes.</t>
        </is>
      </c>
      <c r="Y49" s="10" t="inlineStr">
        <is>
          <t>https://www.boe.es/buscar/act.php?id=BOE-A-2009-20160
https://www.boe.es/boe/dias/2018/12/11/pdfs/BOE-A-2018-16905.pdf
https://www.boe.es/buscar/act.php?id=BOE-A-2020-13026
https://www.cultura.gob.es/dam/jcr:85ee66d9-d300-4e8a-9903-07653ae01b27/report-orden-reguladora-observatorio-igualdad.pdf
https://www.cultura.gob.es/cultura/mc/espacio-igualdad/observatorio.html</t>
        </is>
      </c>
      <c r="Z49" s="30" t="inlineStr">
        <is>
          <t>https://www.boe.es/boe/dias/2018/12/11/pdfs/BOE-A-2018-16905.pdf
https://www.boe.es/buscar/act.php?id=BOE-A-2020-13026
https://www.boe.es/eli/es/rd/2020/10/27/938</t>
        </is>
      </c>
      <c r="AA49" s="12" t="n"/>
      <c r="AB49" s="10" t="n"/>
      <c r="AC49" s="10" t="n"/>
      <c r="AD49" s="10" t="n"/>
      <c r="AE49" s="13" t="inlineStr">
        <is>
          <t>https://files.instinct.com/q91pr53q4umo-entidades-publicas-poder-y-presupuesto</t>
        </is>
      </c>
      <c r="AF49" s="10" t="inlineStr">
        <is>
          <t>12/10/2026</t>
        </is>
      </c>
      <c r="AG49" s="10" t="n"/>
      <c r="AH49" s="10" t="n"/>
      <c r="AI49" s="10" t="inlineStr">
        <is>
          <t>Personas realmente ocupadas; no equiparar vocales, puestos RPT o apoyo ministerial con plantilla</t>
        </is>
      </c>
      <c r="AJ49" s="10" t="inlineStr">
        <is>
          <t>Pendiente: sin cifra de personal ocupado verificada en el conjunto actual</t>
        </is>
      </c>
      <c r="AK49" s="10" t="n"/>
      <c r="AL49" s="12" t="n"/>
      <c r="AM49" s="10" t="n"/>
      <c r="AN49" s="10" t="n"/>
      <c r="AO49" s="10" t="inlineStr">
        <is>
          <t>Pendiente: sin coste de personal individual verificado en el conjunto actual</t>
        </is>
      </c>
      <c r="AP49" s="10" t="n"/>
      <c r="AQ49" s="12" t="n"/>
      <c r="AR49" s="10" t="n"/>
      <c r="AS49" s="10" t="n"/>
      <c r="AT49" s="10" t="n"/>
      <c r="AU49" s="10" t="n"/>
      <c r="AV49" s="10" t="inlineStr">
        <is>
          <t>Pendiente: no se ha verificado gasto salarial ejecutado individual en esta versión</t>
        </is>
      </c>
      <c r="AW49" s="10" t="inlineStr">
        <is>
          <t>SIN CIFRA INDIVIDUAL IDENTIFICADA de presupuesto, personal ocupado y salarios ejecutados en fuentes revisadas. No significa cero ni prueba de que nada esté publicado.</t>
        </is>
      </c>
      <c r="AX49" s="14" t="n"/>
      <c r="AY49" s="14" t="n"/>
      <c r="AZ49" s="14" t="n"/>
      <c r="BA49" s="14" t="n"/>
      <c r="BB49" s="14" t="inlineStr">
        <is>
          <t>Apoyo ministerial/departamental indicado en el lote y norma de la ficha; gasto individual no desglosado verificado. No repartir gasto total del ministerio. Medios del Ministerio de Ciencia (RD 938/2020)</t>
        </is>
      </c>
      <c r="BC49" s="10" t="inlineStr">
        <is>
          <t>Seguimiento de igualdad en ciencia, informe de asuntos sometidos a criterio y propuestas</t>
        </is>
      </c>
      <c r="BD49" s="10" t="inlineStr">
        <is>
          <t>No informe preceptivo general sobre aprobación de leyes identificado en las funciones revisadas</t>
        </is>
      </c>
      <c r="BE49" s="10" t="inlineStr">
        <is>
          <t>No consentimiento favorable o vinculación normativa establecido en funciones revisadas</t>
        </is>
      </c>
      <c r="BF49" s="10" t="inlineStr">
        <is>
          <t>No poder de veto legislativo atribuido en funciones revisadas. Proponer cambios, informar a Cortes o participar no equivale a aprobar leyes; no certifica ausencia de reglas sectoriales posteriores.</t>
        </is>
      </c>
      <c r="BG49" s="10" t="inlineStr">
        <is>
          <t>RD938/2020 art 6</t>
        </is>
      </c>
      <c r="BH49" s="10" t="inlineStr">
        <is>
          <t>https://www.boe.es/buscar/act.php?id=BOE-A-2020-13026</t>
        </is>
      </c>
      <c r="BI49" s="12" t="n"/>
      <c r="BJ49" s="12" t="n"/>
      <c r="BK49" s="12" t="n"/>
      <c r="BL49" s="12" t="n"/>
      <c r="BM49" s="10" t="n"/>
      <c r="BN49" s="10" t="n"/>
      <c r="BO49" s="12" t="n"/>
      <c r="BP49" s="12" t="n"/>
      <c r="BQ49" s="12" t="n"/>
      <c r="BR49" s="12" t="n"/>
      <c r="BS49" s="12" t="n"/>
      <c r="BT49" s="12" t="n"/>
      <c r="BU49" s="12" t="n"/>
      <c r="BV49" s="27" t="inlineStr">
        <is>
          <t>No útil</t>
        </is>
      </c>
      <c r="BW49" s="27" t="inlineStr">
        <is>
          <t>Suprimir</t>
        </is>
      </c>
      <c r="BX49" s="27" t="inlineStr">
        <is>
          <t>Consultivo o participación</t>
        </is>
      </c>
      <c r="BY49" s="12" t="n"/>
      <c r="BZ49" s="27" t="inlineStr">
        <is>
          <t>No</t>
        </is>
      </c>
      <c r="CA49" s="27" t="inlineStr">
        <is>
          <t>No acreditada</t>
        </is>
      </c>
      <c r="CB49" s="27" t="inlineStr">
        <is>
          <t>Observatorio, consejo o comisión: el P100 los cierra salvo que su ministerio demuestre que su trabajo cambia decisiones o mejora un servicio; publicar informes no cuenta.</t>
        </is>
      </c>
      <c r="CC49" s="27" t="inlineStr">
        <is>
          <t>Explícito en el P100: Costes del Estado 2</t>
        </is>
      </c>
      <c r="CD49" s="27" t="inlineStr">
        <is>
          <t>Estructura ordinaria del ministerio, si alguna función resultara imprescindible</t>
        </is>
      </c>
      <c r="CE49" s="27" t="inlineStr">
        <is>
          <t>Igualdad (sectorial)</t>
        </is>
      </c>
      <c r="CF49" s="12" t="n"/>
      <c r="CG49" s="27" t="inlineStr">
        <is>
          <t>Apoyo: Gabinete de la persona titular del Ministerio: secretaría a cargo de un funcionario de carrera de nivel 28 o superior (art. 4.2) y vocalía de la Unidad de Mujeres y Ciencia (art. 4.1.i); medios del Ministerio (DA única RD 938/2020). vocales: 18.</t>
        </is>
      </c>
      <c r="CH49" s="29">
        <f>IF(AND(ISNUMBER(BP49),ISNUMBER(AG49),AG49&gt;0),BP49*1000000/AG49,"")</f>
        <v/>
      </c>
      <c r="CI49" s="12" t="n"/>
      <c r="CJ49" s="12" t="n"/>
      <c r="CK49" s="12" t="n"/>
      <c r="CL49" s="12" t="n"/>
      <c r="CM49" s="12" t="n"/>
      <c r="CN49" s="12" t="n"/>
      <c r="CO49" s="12" t="n"/>
      <c r="CP49" s="12" t="n"/>
      <c r="CQ49" s="12" t="n"/>
      <c r="CR49" s="12" t="n"/>
      <c r="CS49" s="12" t="n"/>
    </row>
    <row r="50">
      <c r="A50" s="10" t="n">
        <v>49</v>
      </c>
      <c r="B50" s="10" t="inlineStr">
        <is>
          <t>Estatal</t>
        </is>
      </c>
      <c r="C50" s="10" t="inlineStr">
        <is>
          <t>Estado</t>
        </is>
      </c>
      <c r="D50" s="10" t="inlineStr">
        <is>
          <t>Sánchez</t>
        </is>
      </c>
      <c r="E50" s="10" t="inlineStr">
        <is>
          <t>Observatorio para la lucha contra el fraude a la Seguridad Social</t>
        </is>
      </c>
      <c r="F50" s="10" t="inlineStr">
        <is>
          <t>Órgano colegiado integrado en TGSS</t>
        </is>
      </c>
      <c r="G50" s="10" t="inlineStr">
        <is>
          <t>2019-06-05</t>
        </is>
      </c>
      <c r="H50" s="10" t="inlineStr">
        <is>
          <t>Orden TMS/667/2019</t>
        </is>
      </c>
      <c r="I50" s="10" t="inlineStr">
        <is>
          <t>Coordinar entidades y agentes sociales, explotar información, proponer inspecciones y seguir resultados antifraude.</t>
        </is>
      </c>
      <c r="J50" s="10" t="inlineStr">
        <is>
          <t>Juicio: Influencia de coordinación real prevista, pero no sustituye a TGSS/INSS/Inspección ni tiene sanción propia. No se ha auditado actividad reciente.</t>
        </is>
      </c>
      <c r="K50" s="11" t="n"/>
      <c r="L50" s="10" t="n"/>
      <c r="M50" s="10" t="n"/>
      <c r="N50" s="10" t="n"/>
      <c r="O50" s="10" t="inlineStr">
        <is>
          <t>Sin cifra propia actual verificada</t>
        </is>
      </c>
      <c r="P50" s="12" t="n"/>
      <c r="Q50" s="12" t="n"/>
      <c r="R50" s="10" t="inlineStr">
        <is>
          <t>Sin línea presupuestaria individual identificada en los tomos oficiales de prórroga consultados. La norma dispone medios del departamento; coste individual no cuantificado. No significa 0 EUR.</t>
        </is>
      </c>
      <c r="S50" s="10" t="inlineStr">
        <is>
          <t>31/08/2026 para IGAE; consulta 11/10/2026 para normas y actividad</t>
        </is>
      </c>
      <c r="T50" s="10" t="inlineStr">
        <is>
          <t>Creación acreditada; continuidad legal revisada, sin auditoría completa de actividad.</t>
        </is>
      </c>
      <c r="U50" s="10" t="inlineStr">
        <is>
          <t>Presidido por Dirección General TGSS, con comisiones provinciales. Frecuencia legal de reunión no prueba cumplimiento.</t>
        </is>
      </c>
      <c r="V50" s="10" t="inlineStr">
        <is>
          <t>No se ha identificado relación en esta revisión (no certifica ausencia)</t>
        </is>
      </c>
      <c r="W50" s="10" t="n"/>
      <c r="X50" s="10" t="inlineStr">
        <is>
          <t>Revisión cualitativa del mandato y estado de las 95 fichas; no auditoría exhaustiva de funciones ni proyectos.</t>
        </is>
      </c>
      <c r="Y50" s="10" t="n"/>
      <c r="Z50" s="30" t="inlineStr">
        <is>
          <t>https://www.boe.es/diario_boe/txt.php?id=BOE-A-2019-9215
https://www.seg-social.es/wps/portal/wss/internet/Trabajadores/CotizacionRecaudacionTrabajadores/9896/lfraude2
https://www.boe.es/eli/es/o/2019/06/05/tms667/con</t>
        </is>
      </c>
      <c r="AA50" s="12" t="n"/>
      <c r="AB50" s="10" t="n"/>
      <c r="AC50" s="10" t="n"/>
      <c r="AD50" s="10" t="n"/>
      <c r="AE50" s="13" t="inlineStr">
        <is>
          <t>https://files.instinct.com/q91pr53q4umo-entidades-publicas-poder-y-presupuesto</t>
        </is>
      </c>
      <c r="AF50" s="10" t="inlineStr">
        <is>
          <t>12/10/2026</t>
        </is>
      </c>
      <c r="AG50" s="10" t="n"/>
      <c r="AH50" s="10" t="n"/>
      <c r="AI50" s="10" t="inlineStr">
        <is>
          <t>Personas realmente ocupadas; no equiparar vocales, puestos RPT o apoyo ministerial con plantilla</t>
        </is>
      </c>
      <c r="AJ50" s="10" t="inlineStr">
        <is>
          <t>Pendiente: sin cifra de personal ocupado verificada en el conjunto actual</t>
        </is>
      </c>
      <c r="AK50" s="10" t="n"/>
      <c r="AL50" s="12" t="n"/>
      <c r="AM50" s="10" t="n"/>
      <c r="AN50" s="10" t="n"/>
      <c r="AO50" s="10" t="inlineStr">
        <is>
          <t>Pendiente: sin coste de personal individual verificado en el conjunto actual</t>
        </is>
      </c>
      <c r="AP50" s="10" t="n"/>
      <c r="AQ50" s="12" t="n"/>
      <c r="AR50" s="10" t="n"/>
      <c r="AS50" s="10" t="n"/>
      <c r="AT50" s="10" t="n"/>
      <c r="AU50" s="10" t="n"/>
      <c r="AV50" s="10" t="inlineStr">
        <is>
          <t>Pendiente: no se ha verificado gasto salarial ejecutado individual en esta versión</t>
        </is>
      </c>
      <c r="AW50" s="10" t="inlineStr">
        <is>
          <t>SIN CIFRA INDIVIDUAL IDENTIFICADA de presupuesto, personal ocupado y salarios ejecutados en fuentes revisadas. No significa cero ni prueba de que nada esté publicado.</t>
        </is>
      </c>
      <c r="AX50" s="14" t="n"/>
      <c r="AY50" s="14" t="n"/>
      <c r="AZ50" s="14" t="n"/>
      <c r="BA50" s="14" t="n"/>
      <c r="BB50" s="14" t="inlineStr">
        <is>
          <t>Apoyo ministerial/departamental indicado en el lote y norma de la ficha; gasto individual no desglosado verificado. No repartir gasto total del ministerio. Medios del Ministerio de Inclusión, Seguridad Social y Migraciones (Orden TMS/667/2019)</t>
        </is>
      </c>
      <c r="BC50" s="10" t="inlineStr">
        <is>
          <t>Análisis de normativa vigente e impacto de modificaciones para evitar fraude</t>
        </is>
      </c>
      <c r="BD50" s="10" t="inlineStr">
        <is>
          <t>No informe preceptivo general sobre aprobación de leyes identificado en las funciones revisadas</t>
        </is>
      </c>
      <c r="BE50" s="10" t="inlineStr">
        <is>
          <t>No consentimiento favorable o vinculación normativa establecido en funciones revisadas</t>
        </is>
      </c>
      <c r="BF50" s="10" t="inlineStr">
        <is>
          <t>No poder de veto legislativo atribuido en funciones revisadas. Proponer cambios, informar a Cortes o participar no equivale a aprobar leyes; no certifica ausencia de reglas sectoriales posteriores.</t>
        </is>
      </c>
      <c r="BG50" s="10" t="inlineStr">
        <is>
          <t>OrdenTMS/667/2019 art 4(g)</t>
        </is>
      </c>
      <c r="BH50" s="10" t="inlineStr">
        <is>
          <t>https://www.boe.es/diario_boe/txt.php?id=BOE-A-2019-9215</t>
        </is>
      </c>
      <c r="BI50" s="12" t="n"/>
      <c r="BJ50" s="12" t="n"/>
      <c r="BK50" s="12" t="n"/>
      <c r="BL50" s="12" t="n"/>
      <c r="BM50" s="10" t="n"/>
      <c r="BN50" s="10" t="n"/>
      <c r="BO50" s="12" t="n"/>
      <c r="BP50" s="12" t="n"/>
      <c r="BQ50" s="12" t="n"/>
      <c r="BR50" s="12" t="n"/>
      <c r="BS50" s="12" t="n"/>
      <c r="BT50" s="12" t="n"/>
      <c r="BU50" s="12" t="n"/>
      <c r="BV50" s="27" t="inlineStr">
        <is>
          <t>No útil</t>
        </is>
      </c>
      <c r="BW50" s="27" t="inlineStr">
        <is>
          <t>Suprimir</t>
        </is>
      </c>
      <c r="BX50" s="27" t="inlineStr">
        <is>
          <t>Consultivo o participación</t>
        </is>
      </c>
      <c r="BY50" s="12" t="n"/>
      <c r="BZ50" s="27" t="inlineStr">
        <is>
          <t>No</t>
        </is>
      </c>
      <c r="CA50" s="27" t="inlineStr">
        <is>
          <t>No acreditada</t>
        </is>
      </c>
      <c r="CB50" s="27" t="inlineStr">
        <is>
          <t>Observatorio, consejo o comisión: el P100 los cierra salvo que su ministerio demuestre que su trabajo cambia decisiones o mejora un servicio; publicar informes no cuenta.</t>
        </is>
      </c>
      <c r="CC50" s="27" t="inlineStr">
        <is>
          <t>Explícito en el P100: Costes del Estado 2</t>
        </is>
      </c>
      <c r="CD50" s="27" t="inlineStr">
        <is>
          <t>Estructura ordinaria del ministerio, si alguna función resultara imprescindible</t>
        </is>
      </c>
      <c r="CE50" s="27" t="inlineStr">
        <is>
          <t>Fraude a la Seguridad Social</t>
        </is>
      </c>
      <c r="CF50" s="12" t="n"/>
      <c r="CG50" s="27" t="inlineStr">
        <is>
          <t>Apoyo: TGSS: secretaría del Pleno a cargo del titular de la SG de Recaudación en Periodo Voluntario (art. 6.1.2.º) y, en las comisiones provinciales, de las subdirecciones provinciales de recaudación (art. 7.1.2.º); medios actuales sin aumento de dotaciones (DA única). vocales: 14.</t>
        </is>
      </c>
      <c r="CH50" s="29">
        <f>IF(AND(ISNUMBER(BP50),ISNUMBER(AG50),AG50&gt;0),BP50*1000000/AG50,"")</f>
        <v/>
      </c>
      <c r="CI50" s="12" t="n"/>
      <c r="CJ50" s="12" t="n"/>
      <c r="CK50" s="12" t="n"/>
      <c r="CL50" s="12" t="n"/>
      <c r="CM50" s="12" t="n"/>
      <c r="CN50" s="12" t="n"/>
      <c r="CO50" s="12" t="n"/>
      <c r="CP50" s="12" t="n"/>
      <c r="CQ50" s="12" t="n"/>
      <c r="CR50" s="12" t="n"/>
      <c r="CS50" s="12" t="n"/>
    </row>
    <row r="51">
      <c r="A51" s="10" t="n">
        <v>50</v>
      </c>
      <c r="B51" s="10" t="inlineStr">
        <is>
          <t>Estatal</t>
        </is>
      </c>
      <c r="C51" s="10" t="inlineStr">
        <is>
          <t>Estado</t>
        </is>
      </c>
      <c r="D51" s="10" t="inlineStr">
        <is>
          <t>Sánchez</t>
        </is>
      </c>
      <c r="E51" s="10" t="inlineStr">
        <is>
          <t>Observatorio de Igualdad de Género en el ámbito de la Cultura</t>
        </is>
      </c>
      <c r="F51" s="10" t="inlineStr">
        <is>
          <t>Órgano colegiado; antecedente Comisión de Igualdad de Género 08/03/2018</t>
        </is>
      </c>
      <c r="G51" s="10" t="inlineStr">
        <is>
          <t>2019-02-15</t>
        </is>
      </c>
      <c r="H51" s="10" t="inlineStr">
        <is>
          <t>Orden ministerial 15/02/2019; regulación posterior publicada por Cultura</t>
        </is>
      </c>
      <c r="I51" s="10" t="inlineStr">
        <is>
          <t>Analizar y promover igualdad en cultura, visibilidad de creadoras e indicadores.</t>
        </is>
      </c>
      <c r="J51" s="10" t="inlineStr">
        <is>
          <t>Juicio: Función consultiva y técnica, no poder de contratación o sanción. Página institucional acredita existencia y dirección; no se ha medido impacto.</t>
        </is>
      </c>
      <c r="K51" s="11" t="n"/>
      <c r="L51" s="10" t="n"/>
      <c r="M51" s="10" t="n"/>
      <c r="N51" s="10" t="n"/>
      <c r="O51" s="10" t="inlineStr">
        <is>
          <t>Sin cifra propia actual verificada</t>
        </is>
      </c>
      <c r="P51" s="12" t="n"/>
      <c r="Q51" s="12" t="n"/>
      <c r="R51" s="10" t="inlineStr">
        <is>
          <t>Sin línea individual identificada. No cuantificado; no equivale al presupuesto de igualdad cultural.</t>
        </is>
      </c>
      <c r="S51" s="10" t="inlineStr">
        <is>
          <t>31/08/2026 para IGAE; consulta 11/10/2026 para normas y actividad</t>
        </is>
      </c>
      <c r="T51" s="10" t="inlineStr">
        <is>
          <t>Creación acreditada; continuidad legal revisada, sin auditoría completa de actividad.</t>
        </is>
      </c>
      <c r="U51" s="10" t="inlineStr">
        <is>
          <t>La página señala presidencia de Dirección General de Derechos Culturales. No se ha cuantificado plantilla o gasto.</t>
        </is>
      </c>
      <c r="V51" s="10" t="inlineStr">
        <is>
          <t>Ámbito compartido; sector especializado</t>
        </is>
      </c>
      <c r="W51" s="10" t="inlineStr">
        <is>
          <t>21, 48</t>
        </is>
      </c>
      <c r="X51" s="10" t="inlineStr">
        <is>
          <t>Igualdad y participación: consejo general de mujeres, observatorio I+D+i y observatorio cultural. Sectores y funciones no equivalentes.</t>
        </is>
      </c>
      <c r="Y51" s="10" t="inlineStr">
        <is>
          <t>https://www.boe.es/buscar/act.php?id=BOE-A-2009-20160
https://www.boe.es/boe/dias/2018/12/11/pdfs/BOE-A-2018-16905.pdf
https://www.boe.es/buscar/act.php?id=BOE-A-2020-13026
https://www.cultura.gob.es/dam/jcr:85ee66d9-d300-4e8a-9903-07653ae01b27/report-orden-reguladora-observatorio-igualdad.pdf
https://www.cultura.gob.es/cultura/mc/espacio-igualdad/observatorio.html</t>
        </is>
      </c>
      <c r="Z51" s="10" t="inlineStr">
        <is>
          <t>https://www.cultura.gob.es/dam/jcr:85ee66d9-d300-4e8a-9903-07653ae01b27/report-orden-reguladora-observatorio-igualdad.pdf
https://www.cultura.gob.es/cultura/mc/espacio-igualdad/observatorio.html</t>
        </is>
      </c>
      <c r="AA51" s="12" t="n"/>
      <c r="AB51" s="10" t="n"/>
      <c r="AC51" s="10" t="n"/>
      <c r="AD51" s="10" t="n"/>
      <c r="AE51" s="13" t="inlineStr">
        <is>
          <t>https://files.instinct.com/q91pr53q4umo-entidades-publicas-poder-y-presupuesto</t>
        </is>
      </c>
      <c r="AF51" s="10" t="inlineStr">
        <is>
          <t>12/10/2026</t>
        </is>
      </c>
      <c r="AG51" s="10" t="n"/>
      <c r="AH51" s="10" t="n"/>
      <c r="AI51" s="10" t="inlineStr">
        <is>
          <t>Personas realmente ocupadas; no equiparar vocales, puestos RPT o apoyo ministerial con plantilla</t>
        </is>
      </c>
      <c r="AJ51" s="10" t="inlineStr">
        <is>
          <t>Pendiente: sin cifra de personal ocupado verificada en el conjunto actual</t>
        </is>
      </c>
      <c r="AK51" s="10" t="n"/>
      <c r="AL51" s="12" t="n"/>
      <c r="AM51" s="10" t="n"/>
      <c r="AN51" s="10" t="n"/>
      <c r="AO51" s="10" t="inlineStr">
        <is>
          <t>Pendiente: sin coste de personal individual verificado en el conjunto actual</t>
        </is>
      </c>
      <c r="AP51" s="10" t="n"/>
      <c r="AQ51" s="12" t="n"/>
      <c r="AR51" s="10" t="n"/>
      <c r="AS51" s="10" t="n"/>
      <c r="AT51" s="10" t="n"/>
      <c r="AU51" s="10" t="n"/>
      <c r="AV51" s="10" t="inlineStr">
        <is>
          <t>Pendiente: no se ha verificado gasto salarial ejecutado individual en esta versión</t>
        </is>
      </c>
      <c r="AW51" s="10" t="inlineStr">
        <is>
          <t>SIN CIFRA INDIVIDUAL IDENTIFICADA de presupuesto, personal ocupado y salarios ejecutados en fuentes revisadas. No significa cero ni prueba de que nada esté publicado.</t>
        </is>
      </c>
      <c r="AX51" s="14" t="n"/>
      <c r="AY51" s="14" t="n"/>
      <c r="AZ51" s="14" t="n"/>
      <c r="BA51" s="14" t="n"/>
      <c r="BB51" s="14" t="inlineStr">
        <is>
          <t>Apoyo ministerial/departamental indicado en el lote y norma de la ficha; gasto individual no desglosado verificado. No repartir gasto total del ministerio. Medios del Ministerio de Cultura</t>
        </is>
      </c>
      <c r="BC51" s="10" t="inlineStr">
        <is>
          <t>Propuestas, estudios y participación en Plan de Igualdad de Género en Cultura</t>
        </is>
      </c>
      <c r="BD51" s="10" t="inlineStr">
        <is>
          <t>No informe preceptivo general sobre aprobación de leyes identificado en funciones revisadas</t>
        </is>
      </c>
      <c r="BE51" s="10" t="inlineStr">
        <is>
          <t>No consentimiento favorable o vinculación normativa establecido en funciones revisadas</t>
        </is>
      </c>
      <c r="BF51" s="10" t="inlineStr">
        <is>
          <t>No veto legislativo atribuido por las disposiciones revisadas. Proponer medidas o cambios legislativos no equivale a aprobarlos; no auditoría de todas las normas sectoriales posteriores.</t>
        </is>
      </c>
      <c r="BG51" s="10" t="inlineStr">
        <is>
          <t>Orden ministerial publicada por Cultura, apartado Segundo</t>
        </is>
      </c>
      <c r="BH51" s="10" t="inlineStr">
        <is>
          <t>https://www.cultura.gob.es/dam/jcr:85ee 66d 9-d 300-4e 8a-9903-07653ae 01b 27/report-orden-reguladora-observatorio-igualdad.pdf</t>
        </is>
      </c>
      <c r="BI51" s="12" t="n"/>
      <c r="BJ51" s="12" t="n"/>
      <c r="BK51" s="12" t="n"/>
      <c r="BL51" s="12" t="n"/>
      <c r="BM51" s="10" t="n"/>
      <c r="BN51" s="10" t="n"/>
      <c r="BO51" s="12" t="n"/>
      <c r="BP51" s="12" t="n"/>
      <c r="BQ51" s="12" t="n"/>
      <c r="BR51" s="12" t="n"/>
      <c r="BS51" s="12" t="n"/>
      <c r="BT51" s="12" t="n"/>
      <c r="BU51" s="12" t="n"/>
      <c r="BV51" s="27" t="inlineStr">
        <is>
          <t>No útil</t>
        </is>
      </c>
      <c r="BW51" s="27" t="inlineStr">
        <is>
          <t>Suprimir</t>
        </is>
      </c>
      <c r="BX51" s="27" t="inlineStr">
        <is>
          <t>Consultivo o participación</t>
        </is>
      </c>
      <c r="BY51" s="12" t="n"/>
      <c r="BZ51" s="27" t="inlineStr">
        <is>
          <t>No</t>
        </is>
      </c>
      <c r="CA51" s="27" t="inlineStr">
        <is>
          <t>Parcial</t>
        </is>
      </c>
      <c r="CB51" s="27" t="inlineStr">
        <is>
          <t>Observatorio, consejo o comisión: el P100 los cierra salvo que su ministerio demuestre que su trabajo cambia decisiones o mejora un servicio; publicar informes no cuenta.</t>
        </is>
      </c>
      <c r="CC51" s="27" t="inlineStr">
        <is>
          <t>Explícito en el P100: Costes del Estado 2</t>
        </is>
      </c>
      <c r="CD51" s="27" t="inlineStr">
        <is>
          <t>Estructura ordinaria del ministerio, si alguna función resultara imprescindible</t>
        </is>
      </c>
      <c r="CE51" s="27" t="inlineStr">
        <is>
          <t>Igualdad (sectorial)</t>
        </is>
      </c>
      <c r="CF51" s="12" t="n"/>
      <c r="CG51" s="27" t="inlineStr">
        <is>
          <t>Apoyo: DG de Derechos Culturales: secretaría a cargo de una persona funcionaria designada por su titular (apdo. Tercero.1.d); recursos humanos y medios del Ministerio de Cultura (apdo. Quinto). vocales: 9.</t>
        </is>
      </c>
      <c r="CH51" s="29">
        <f>IF(AND(ISNUMBER(BP51),ISNUMBER(AG51),AG51&gt;0),BP51*1000000/AG51,"")</f>
        <v/>
      </c>
      <c r="CI51" s="12" t="n"/>
      <c r="CJ51" s="12" t="n"/>
      <c r="CK51" s="12" t="n"/>
      <c r="CL51" s="12" t="n"/>
      <c r="CM51" s="12" t="n"/>
      <c r="CN51" s="12" t="n"/>
      <c r="CO51" s="12" t="n"/>
      <c r="CP51" s="12" t="n"/>
      <c r="CQ51" s="12" t="n"/>
      <c r="CR51" s="12" t="n"/>
      <c r="CS51" s="12" t="n"/>
    </row>
    <row r="52">
      <c r="A52" s="10" t="n">
        <v>51</v>
      </c>
      <c r="B52" s="10" t="inlineStr">
        <is>
          <t>Estatal</t>
        </is>
      </c>
      <c r="C52" s="10" t="inlineStr">
        <is>
          <t>Estado</t>
        </is>
      </c>
      <c r="D52" s="10" t="inlineStr">
        <is>
          <t>Sánchez</t>
        </is>
      </c>
      <c r="E52" s="10" t="inlineStr">
        <is>
          <t>Observatorio Global del Español</t>
        </is>
      </c>
      <c r="F52" s="10" t="inlineStr">
        <is>
          <t>Órgano colegiado, no agencia con personalidad jurídica</t>
        </is>
      </c>
      <c r="G52" s="10" t="inlineStr">
        <is>
          <t>2022-06-07</t>
        </is>
      </c>
      <c r="H52" s="10" t="inlineStr">
        <is>
          <t>RD 431/2022</t>
        </is>
      </c>
      <c r="I52" s="10" t="inlineStr">
        <is>
          <t>Estudiar español en el mundo y economía de la lengua, coordinar observatorios e informes.</t>
        </is>
      </c>
      <c r="J52" s="10" t="inlineStr">
        <is>
          <t>Juicio: Función técnica comprobada: catálogo de publicaciones y estudios periódicos. Sin potestad reguladora ni sanción; no es solo un nombre.</t>
        </is>
      </c>
      <c r="K52" s="11" t="n"/>
      <c r="L52" s="10" t="n"/>
      <c r="M52" s="10" t="n"/>
      <c r="N52" s="10" t="n"/>
      <c r="O52" s="10" t="inlineStr">
        <is>
          <t>Sin cifra propia actual verificada</t>
        </is>
      </c>
      <c r="P52" s="12" t="n"/>
      <c r="Q52" s="12" t="n"/>
      <c r="R52" s="10" t="inlineStr">
        <is>
          <t>Sin línea propia identificada. La norma permite puestos de plantilla del Instituto Cervantes. No asignar los 1.100 M EUR del PERTE de lengua al observatorio.</t>
        </is>
      </c>
      <c r="S52" s="10" t="inlineStr">
        <is>
          <t>31/08/2026 para IGAE; consulta 11/10/2026 para normas y actividad</t>
        </is>
      </c>
      <c r="T52" s="10" t="inlineStr">
        <is>
          <t>Creación acreditada; continuidad legal revisada, sin auditoría completa de actividad.</t>
        </is>
      </c>
      <c r="U52" s="10" t="inlineStr">
        <is>
          <t>Francisco Moreno Fernández identificado como director en actividad oficial abril 2026. Plantilla ocupada y coste anual no verificados.</t>
        </is>
      </c>
      <c r="V52" s="10" t="inlineStr">
        <is>
          <t>No se ha identificado relación en esta revisión (no certifica ausencia)</t>
        </is>
      </c>
      <c r="W52" s="10" t="n"/>
      <c r="X52" s="10" t="inlineStr">
        <is>
          <t>Revisión cualitativa del mandato y estado de las 95 fichas; no auditoría exhaustiva de funciones ni proyectos.</t>
        </is>
      </c>
      <c r="Y52" s="10" t="n"/>
      <c r="Z52" s="30" t="inlineStr">
        <is>
          <t>https://www.boe.es/diario_boe/txt.php?id=BOE-A-2022-9382
https://observatoriodelespanol.cervantes.org/catalogo-publicaciones/
https://observatoriodelespanol.cervantes.org/noticia/clabe-inteligencia-idioma/
https://www.boe.es/eli/es/rd/2022/06/07/431/con</t>
        </is>
      </c>
      <c r="AA52" s="12" t="n"/>
      <c r="AB52" s="10" t="n"/>
      <c r="AC52" s="10" t="n"/>
      <c r="AD52" s="10" t="n"/>
      <c r="AE52" s="13" t="inlineStr">
        <is>
          <t>https://files.instinct.com/q91pr53q4umo-entidades-publicas-poder-y-presupuesto</t>
        </is>
      </c>
      <c r="AF52" s="10" t="inlineStr">
        <is>
          <t>12/10/2026</t>
        </is>
      </c>
      <c r="AG52" s="10" t="n"/>
      <c r="AH52" s="10" t="n"/>
      <c r="AI52" s="10" t="inlineStr">
        <is>
          <t>Personas realmente ocupadas; no equiparar vocales, puestos RPT o apoyo ministerial con plantilla</t>
        </is>
      </c>
      <c r="AJ52" s="10" t="inlineStr">
        <is>
          <t>Pendiente: sin cifra de personal ocupado verificada en el conjunto actual</t>
        </is>
      </c>
      <c r="AK52" s="10" t="n"/>
      <c r="AL52" s="12" t="n"/>
      <c r="AM52" s="10" t="n"/>
      <c r="AN52" s="10" t="n"/>
      <c r="AO52" s="10" t="inlineStr">
        <is>
          <t>Pendiente: sin coste de personal individual verificado en el conjunto actual</t>
        </is>
      </c>
      <c r="AP52" s="10" t="n"/>
      <c r="AQ52" s="12" t="n"/>
      <c r="AR52" s="10" t="n"/>
      <c r="AS52" s="10" t="n"/>
      <c r="AT52" s="10" t="n"/>
      <c r="AU52" s="10" t="n"/>
      <c r="AV52" s="10" t="inlineStr">
        <is>
          <t>Pendiente: no se ha verificado gasto salarial ejecutado individual en esta versión</t>
        </is>
      </c>
      <c r="AW52" s="10" t="inlineStr">
        <is>
          <t>SIN CIFRA INDIVIDUAL IDENTIFICADA de presupuesto, personal ocupado y salarios ejecutados en fuentes revisadas. No significa cero ni prueba de que nada esté publicado.</t>
        </is>
      </c>
      <c r="AX52" s="14" t="n"/>
      <c r="AY52" s="14" t="n"/>
      <c r="AZ52" s="14" t="n"/>
      <c r="BA52" s="14" t="n"/>
      <c r="BB52" s="14" t="inlineStr">
        <is>
          <t>Apoyo ministerial/departamental indicado en el lote y norma de la ficha; gasto individual no desglosado verificado. No repartir gasto total del ministerio. RD 431/2022 permite puestos de plantilla del Instituto Cervantes (personal del Cervantes, no del observatorio)</t>
        </is>
      </c>
      <c r="BC52" s="10" t="inlineStr">
        <is>
          <t>Estudios y recomendaciones sobre español, economía de la lengua y asuntos sometidos a criterio</t>
        </is>
      </c>
      <c r="BD52" s="10" t="inlineStr">
        <is>
          <t>No informe preceptivo general sobre aprobación de leyes identificado en las funciones revisadas</t>
        </is>
      </c>
      <c r="BE52" s="10" t="inlineStr">
        <is>
          <t>No consentimiento favorable o vinculación normativa establecido en funciones revisadas</t>
        </is>
      </c>
      <c r="BF52" s="10" t="inlineStr">
        <is>
          <t>No poder de veto legislativo atribuido en funciones revisadas. Proponer cambios, informar a Cortes o participar no equivale a aprobar leyes; no certifica ausencia de reglas sectoriales posteriores.</t>
        </is>
      </c>
      <c r="BG52" s="10" t="inlineStr">
        <is>
          <t>RD431/2022 art 3</t>
        </is>
      </c>
      <c r="BH52" s="10" t="inlineStr">
        <is>
          <t>https://www.boe.es/diario_boe/txt.php?id=BOE-A-2022-9382</t>
        </is>
      </c>
      <c r="BI52" s="12" t="n"/>
      <c r="BJ52" s="12" t="n"/>
      <c r="BK52" s="12" t="n"/>
      <c r="BL52" s="12" t="n"/>
      <c r="BM52" s="10" t="n"/>
      <c r="BN52" s="10" t="n"/>
      <c r="BO52" s="12" t="n"/>
      <c r="BP52" s="12" t="n"/>
      <c r="BQ52" s="12" t="n"/>
      <c r="BR52" s="12" t="n"/>
      <c r="BS52" s="12" t="n"/>
      <c r="BT52" s="12" t="n"/>
      <c r="BU52" s="12" t="n"/>
      <c r="BV52" s="27" t="inlineStr">
        <is>
          <t>No útil</t>
        </is>
      </c>
      <c r="BW52" s="27" t="inlineStr">
        <is>
          <t>Suprimir</t>
        </is>
      </c>
      <c r="BX52" s="27" t="inlineStr">
        <is>
          <t>Consultivo o participación</t>
        </is>
      </c>
      <c r="BY52" s="12" t="n"/>
      <c r="BZ52" s="27" t="inlineStr">
        <is>
          <t>No</t>
        </is>
      </c>
      <c r="CA52" s="27" t="inlineStr">
        <is>
          <t>Acreditada</t>
        </is>
      </c>
      <c r="CB52" s="27" t="inlineStr">
        <is>
          <t>Observatorio, consejo o comisión: el P100 los cierra salvo que su ministerio demuestre que su trabajo cambia decisiones o mejora un servicio; publicar informes no cuenta.</t>
        </is>
      </c>
      <c r="CC52" s="27" t="inlineStr">
        <is>
          <t>Explícito en el P100: Costes del Estado 2</t>
        </is>
      </c>
      <c r="CD52" s="27" t="inlineStr">
        <is>
          <t>Estructura ordinaria del ministerio, si alguna función resultara imprescindible</t>
        </is>
      </c>
      <c r="CE52" s="27" t="inlineStr">
        <is>
          <t>Lengua española</t>
        </is>
      </c>
      <c r="CF52" s="12" t="n"/>
      <c r="CG52" s="27" t="inlineStr">
        <is>
          <t>Apoyo: Instituto Cervantes: la Secretaría General ejerce la secretaría del Pleno (art. 4.3); la Dirección del IC preside la Comisión ejecutiva (art. 5.2); pueden asignarse puestos de la plantilla del IC (art. 5.7 RD 431/2022). puestos asignados según fuente oficial: 1. vocales: 10. gasto con nombre propio: 73.693,05 EUR: retribución anual del puesto «Dirección del Observatorio Global del Español», sin antigüedad, en la tabla de directivos fuera de convenio a junio de 2025 (Memoria IC 2024-2025, Organización, https://cervantes.org/sites/public/produccion/files/2025-12/memoria-2024-2025-instituto-cervantes-11-organizacion.pdf).</t>
        </is>
      </c>
      <c r="CH52" s="29">
        <f>IF(AND(ISNUMBER(BP52),ISNUMBER(AG52),AG52&gt;0),BP52*1000000/AG52,"")</f>
        <v/>
      </c>
      <c r="CI52" s="12" t="n"/>
      <c r="CJ52" s="12" t="n"/>
      <c r="CK52" s="12" t="n"/>
      <c r="CL52" s="12" t="n"/>
      <c r="CM52" s="12" t="n"/>
      <c r="CN52" s="12" t="n"/>
      <c r="CO52" s="12" t="n"/>
      <c r="CP52" s="12" t="n"/>
      <c r="CQ52" s="12" t="n"/>
      <c r="CR52" s="12" t="n"/>
      <c r="CS52" s="12" t="n"/>
    </row>
    <row r="53">
      <c r="A53" s="10" t="n">
        <v>52</v>
      </c>
      <c r="B53" s="10" t="inlineStr">
        <is>
          <t>Estatal</t>
        </is>
      </c>
      <c r="C53" s="10" t="inlineStr">
        <is>
          <t>Estado</t>
        </is>
      </c>
      <c r="D53" s="10" t="inlineStr">
        <is>
          <t>Sánchez</t>
        </is>
      </c>
      <c r="E53" s="10" t="inlineStr">
        <is>
          <t>Observatorio de la Sostenibilidad del Regadío</t>
        </is>
      </c>
      <c r="F53" s="10" t="inlineStr">
        <is>
          <t>Plataforma en línea gestionada por MAPA</t>
        </is>
      </c>
      <c r="G53" s="10" t="inlineStr">
        <is>
          <t>2022-10-11</t>
        </is>
      </c>
      <c r="H53" s="10" t="inlineStr">
        <is>
          <t>RD 854/2022, arts.6-7</t>
        </is>
      </c>
      <c r="I53" s="10" t="inlineStr">
        <is>
          <t>Publicar indicadores, estudios, buenas prácticas y seguimiento de regadíos; apoyar a la Mesa Nacional del Regadío.</t>
        </is>
      </c>
      <c r="J53" s="10" t="inlineStr">
        <is>
          <t>Juicio: Plataforma informativa y técnica, no autoridad de concesión de agua ni adjudicación de ayudas. Entrega efectiva de todos los productos no comprobada.</t>
        </is>
      </c>
      <c r="K53" s="11" t="n"/>
      <c r="L53" s="10" t="n"/>
      <c r="M53" s="10" t="n"/>
      <c r="N53" s="10" t="n"/>
      <c r="O53" s="10" t="inlineStr">
        <is>
          <t>Sin cifra propia actual verificada</t>
        </is>
      </c>
      <c r="P53" s="12" t="n"/>
      <c r="Q53" s="12" t="n"/>
      <c r="R53" s="10" t="inlineStr">
        <is>
          <t>Sin línea presupuestaria individual identificada en los tomos oficiales de prórroga consultados. La norma dispone medios del departamento; coste individual no cuantificado. No significa 0 EUR.</t>
        </is>
      </c>
      <c r="S53" s="10" t="inlineStr">
        <is>
          <t>31/08/2026 para IGAE; consulta 11/10/2026 para normas y actividad</t>
        </is>
      </c>
      <c r="T53" s="10" t="inlineStr">
        <is>
          <t>Creación acreditada; continuidad legal revisada, sin auditoría completa de actividad.</t>
        </is>
      </c>
      <c r="U53" s="10" t="inlineStr">
        <is>
          <t>La norma atribuye gastos al presupuesto ordinario de la Dirección General, no al Mecanismo de Recuperación; no estimar coste desde las inversiones en regadío.</t>
        </is>
      </c>
      <c r="V53" s="10" t="inlineStr">
        <is>
          <t>Complementariedad expresa; medios compartidos</t>
        </is>
      </c>
      <c r="W53" s="10" t="inlineStr">
        <is>
          <t>53</t>
        </is>
      </c>
      <c r="X53" s="10" t="inlineStr">
        <is>
          <t>El Observatorio del Regadío apoya a la Mesa; uno aporta indicadores y estudios, la otra cooperación y propuestas. No duplicar costes compartidos.</t>
        </is>
      </c>
      <c r="Y53" s="10" t="inlineStr">
        <is>
          <t>https://www.boe.es/buscar/doc.php?id=BOE-A-2022-16583</t>
        </is>
      </c>
      <c r="Z53" s="30" t="inlineStr">
        <is>
          <t>https://www.boe.es/buscar/doc.php?id=BOE-A-2022-16583
https://www.boe.es/eli/es/rd/2022/10/11/854/con</t>
        </is>
      </c>
      <c r="AA53" s="12" t="n"/>
      <c r="AB53" s="10" t="n"/>
      <c r="AC53" s="10" t="n"/>
      <c r="AD53" s="10" t="n"/>
      <c r="AE53" s="13" t="inlineStr">
        <is>
          <t>https://files.instinct.com/q91pr53q4umo-entidades-publicas-poder-y-presupuesto</t>
        </is>
      </c>
      <c r="AF53" s="10" t="inlineStr">
        <is>
          <t>12/10/2026</t>
        </is>
      </c>
      <c r="AG53" s="10" t="n"/>
      <c r="AH53" s="10" t="n"/>
      <c r="AI53" s="10" t="inlineStr">
        <is>
          <t>Personas realmente ocupadas; no equiparar vocales, puestos RPT o apoyo ministerial con plantilla</t>
        </is>
      </c>
      <c r="AJ53" s="10" t="inlineStr">
        <is>
          <t>Pendiente: sin cifra de personal ocupado verificada en el conjunto actual</t>
        </is>
      </c>
      <c r="AK53" s="10" t="n"/>
      <c r="AL53" s="12" t="n"/>
      <c r="AM53" s="10" t="n"/>
      <c r="AN53" s="10" t="n"/>
      <c r="AO53" s="10" t="inlineStr">
        <is>
          <t>Pendiente: sin coste de personal individual verificado en el conjunto actual</t>
        </is>
      </c>
      <c r="AP53" s="10" t="n"/>
      <c r="AQ53" s="12" t="n"/>
      <c r="AR53" s="10" t="n"/>
      <c r="AS53" s="10" t="n"/>
      <c r="AT53" s="10" t="n"/>
      <c r="AU53" s="10" t="n"/>
      <c r="AV53" s="10" t="inlineStr">
        <is>
          <t>Pendiente: no se ha verificado gasto salarial ejecutado individual en esta versión</t>
        </is>
      </c>
      <c r="AW53" s="10" t="inlineStr">
        <is>
          <t>SIN CIFRA INDIVIDUAL IDENTIFICADA de presupuesto, personal ocupado y salarios ejecutados en fuentes revisadas. No significa cero ni prueba de que nada esté publicado.</t>
        </is>
      </c>
      <c r="AX53" s="14" t="n"/>
      <c r="AY53" s="14" t="n"/>
      <c r="AZ53" s="14" t="n"/>
      <c r="BA53" s="14" t="n"/>
      <c r="BB53" s="14" t="inlineStr">
        <is>
          <t>Apoyo ministerial/departamental indicado en el lote y norma de la ficha; gasto individual no desglosado verificado. No repartir gasto total del ministerio. Medios del MAPA (RD 854/2022)</t>
        </is>
      </c>
      <c r="BC53" s="10" t="inlineStr">
        <is>
          <t>Plataforma de información y apoyo técnico a la Mesa del Regadío</t>
        </is>
      </c>
      <c r="BD53" s="10" t="inlineStr">
        <is>
          <t>No informe preceptivo general sobre aprobación de leyes identificado en las funciones revisadas</t>
        </is>
      </c>
      <c r="BE53" s="10" t="inlineStr">
        <is>
          <t>No consentimiento favorable o vinculación normativa establecido en funciones revisadas</t>
        </is>
      </c>
      <c r="BF53" s="10" t="inlineStr">
        <is>
          <t>No confundir la plataforma Observatorio con la Mesa: el informe sobre normativa del art 3(c) pertenece a la Mesa y es no vinculante.</t>
        </is>
      </c>
      <c r="BG53" s="10" t="inlineStr">
        <is>
          <t>RD854/2022 arts 6,7; distinguir art 3(c) Mesa</t>
        </is>
      </c>
      <c r="BH53" s="10" t="inlineStr">
        <is>
          <t>https://www.boe.es/buscar/doc.php?id=BOE-A-2022-16583</t>
        </is>
      </c>
      <c r="BI53" s="12" t="n"/>
      <c r="BJ53" s="12" t="n"/>
      <c r="BK53" s="12" t="n"/>
      <c r="BL53" s="12" t="n"/>
      <c r="BM53" s="10" t="n"/>
      <c r="BN53" s="10" t="n"/>
      <c r="BO53" s="12" t="n"/>
      <c r="BP53" s="12" t="n"/>
      <c r="BQ53" s="12" t="n"/>
      <c r="BR53" s="12" t="n"/>
      <c r="BS53" s="12" t="n"/>
      <c r="BT53" s="12" t="n"/>
      <c r="BU53" s="12" t="n"/>
      <c r="BV53" s="27" t="inlineStr">
        <is>
          <t>No útil</t>
        </is>
      </c>
      <c r="BW53" s="27" t="inlineStr">
        <is>
          <t>Suprimir</t>
        </is>
      </c>
      <c r="BX53" s="27" t="inlineStr">
        <is>
          <t>Consultivo o participación</t>
        </is>
      </c>
      <c r="BY53" s="12" t="n"/>
      <c r="BZ53" s="27" t="inlineStr">
        <is>
          <t>No</t>
        </is>
      </c>
      <c r="CA53" s="27" t="inlineStr">
        <is>
          <t>No acreditada</t>
        </is>
      </c>
      <c r="CB53" s="27" t="inlineStr">
        <is>
          <t>Observatorio, consejo o comisión: el P100 los cierra salvo que su ministerio demuestre que su trabajo cambia decisiones o mejora un servicio; publicar informes no cuenta.</t>
        </is>
      </c>
      <c r="CC53" s="27" t="inlineStr">
        <is>
          <t>Explícito en el P100: Costes del Estado 2</t>
        </is>
      </c>
      <c r="CD53" s="27" t="inlineStr">
        <is>
          <t>Estructura ordinaria del ministerio, si alguna función resultara imprescindible</t>
        </is>
      </c>
      <c r="CE53" s="27" t="inlineStr">
        <is>
          <t>Regadío</t>
        </is>
      </c>
      <c r="CF53" s="12" t="n"/>
      <c r="CG53" s="27" t="inlineStr">
        <is>
          <t>Apoyo: Unidad competente en regadíos del MAPA, la SG de Regadíos, Caminos Naturales e Infraestructuras Rurales (DGDRIFA), que gestiona la plataforma (art. 6.3 RD 854/2022).</t>
        </is>
      </c>
      <c r="CH53" s="29">
        <f>IF(AND(ISNUMBER(BP53),ISNUMBER(AG53),AG53&gt;0),BP53*1000000/AG53,"")</f>
        <v/>
      </c>
      <c r="CI53" s="12" t="n"/>
      <c r="CJ53" s="12" t="n"/>
      <c r="CK53" s="12" t="n"/>
      <c r="CL53" s="12" t="n"/>
      <c r="CM53" s="12" t="n"/>
      <c r="CN53" s="12" t="n"/>
      <c r="CO53" s="12" t="n"/>
      <c r="CP53" s="12" t="n"/>
      <c r="CQ53" s="12" t="n"/>
      <c r="CR53" s="12" t="n"/>
      <c r="CS53" s="12" t="n"/>
    </row>
    <row r="54">
      <c r="A54" s="10" t="n">
        <v>53</v>
      </c>
      <c r="B54" s="10" t="inlineStr">
        <is>
          <t>Estatal</t>
        </is>
      </c>
      <c r="C54" s="10" t="inlineStr">
        <is>
          <t>Estado</t>
        </is>
      </c>
      <c r="D54" s="10" t="inlineStr">
        <is>
          <t>Sánchez</t>
        </is>
      </c>
      <c r="E54" s="10" t="inlineStr">
        <is>
          <t>Mesa Nacional del Regadío</t>
        </is>
      </c>
      <c r="F54" s="10" t="inlineStr">
        <is>
          <t>Órgano de cooperación nuevo</t>
        </is>
      </c>
      <c r="G54" s="10" t="inlineStr">
        <is>
          <t>2022-10-11</t>
        </is>
      </c>
      <c r="H54" s="10" t="inlineStr">
        <is>
          <t>RD 854/2022</t>
        </is>
      </c>
      <c r="I54" s="10" t="inlineStr">
        <is>
          <t>Cooperación entre administraciones, regantes y otros actores; propuestas de sostenibilidad hídrica y energética.</t>
        </is>
      </c>
      <c r="J54" s="10" t="inlineStr">
        <is>
          <t>Juicio: Coordinación y propuesta, sin reemplazar competencias de administraciones hidráulicas. No tiene mando autónomo sobre regadíos.</t>
        </is>
      </c>
      <c r="K54" s="11" t="n"/>
      <c r="L54" s="10" t="n"/>
      <c r="M54" s="10" t="n"/>
      <c r="N54" s="10" t="n"/>
      <c r="O54" s="10" t="inlineStr">
        <is>
          <t>Sin cifra propia actual verificada</t>
        </is>
      </c>
      <c r="P54" s="12" t="n"/>
      <c r="Q54" s="12" t="n"/>
      <c r="R54" s="10" t="inlineStr">
        <is>
          <t>Sin línea presupuestaria individual identificada en los tomos oficiales de prórroga consultados. La norma dispone medios del departamento; coste individual no cuantificado. No significa 0 EUR.</t>
        </is>
      </c>
      <c r="S54" s="10" t="inlineStr">
        <is>
          <t>31/08/2026 para IGAE; consulta 11/10/2026 para normas y actividad</t>
        </is>
      </c>
      <c r="T54" s="10" t="inlineStr">
        <is>
          <t>Creación acreditada; continuidad legal revisada, sin auditoría completa de actividad.</t>
        </is>
      </c>
      <c r="U54" s="10" t="inlineStr">
        <is>
          <t>No duplicar con la plataforma observatorio al sumar costes compartidos.</t>
        </is>
      </c>
      <c r="V54" s="10" t="inlineStr">
        <is>
          <t>Complementariedad expresa; medios compartidos</t>
        </is>
      </c>
      <c r="W54" s="10" t="inlineStr">
        <is>
          <t>52</t>
        </is>
      </c>
      <c r="X54" s="10" t="inlineStr">
        <is>
          <t>El Observatorio del Regadío apoya a la Mesa; uno aporta indicadores y estudios, la otra cooperación y propuestas. No duplicar costes compartidos.</t>
        </is>
      </c>
      <c r="Y54" s="10" t="inlineStr">
        <is>
          <t>https://www.boe.es/buscar/doc.php?id=BOE-A-2022-16583</t>
        </is>
      </c>
      <c r="Z54" s="30" t="inlineStr">
        <is>
          <t>https://www.boe.es/buscar/doc.php?id=BOE-A-2022-16583
https://www.boe.es/eli/es/rd/2022/10/11/854/con</t>
        </is>
      </c>
      <c r="AA54" s="12" t="n"/>
      <c r="AB54" s="10" t="n"/>
      <c r="AC54" s="10" t="n"/>
      <c r="AD54" s="10" t="n"/>
      <c r="AE54" s="13" t="inlineStr">
        <is>
          <t>https://files.instinct.com/q91pr53q4umo-entidades-publicas-poder-y-presupuesto</t>
        </is>
      </c>
      <c r="AF54" s="10" t="inlineStr">
        <is>
          <t>12/10/2026</t>
        </is>
      </c>
      <c r="AG54" s="10" t="n"/>
      <c r="AH54" s="10" t="n"/>
      <c r="AI54" s="10" t="inlineStr">
        <is>
          <t>Personas realmente ocupadas; no equiparar vocales, puestos RPT o apoyo ministerial con plantilla</t>
        </is>
      </c>
      <c r="AJ54" s="10" t="inlineStr">
        <is>
          <t>Pendiente: sin cifra de personal ocupado verificada en el conjunto actual</t>
        </is>
      </c>
      <c r="AK54" s="10" t="n"/>
      <c r="AL54" s="12" t="n"/>
      <c r="AM54" s="10" t="n"/>
      <c r="AN54" s="10" t="n"/>
      <c r="AO54" s="10" t="inlineStr">
        <is>
          <t>Pendiente: sin coste de personal individual verificado en el conjunto actual</t>
        </is>
      </c>
      <c r="AP54" s="10" t="n"/>
      <c r="AQ54" s="12" t="n"/>
      <c r="AR54" s="10" t="n"/>
      <c r="AS54" s="10" t="n"/>
      <c r="AT54" s="10" t="n"/>
      <c r="AU54" s="10" t="n"/>
      <c r="AV54" s="10" t="inlineStr">
        <is>
          <t>Pendiente: no se ha verificado gasto salarial ejecutado individual en esta versión</t>
        </is>
      </c>
      <c r="AW54" s="10" t="inlineStr">
        <is>
          <t>SIN CIFRA INDIVIDUAL IDENTIFICADA de presupuesto, personal ocupado y salarios ejecutados en fuentes revisadas. No significa cero ni prueba de que nada esté publicado.</t>
        </is>
      </c>
      <c r="AX54" s="14" t="n"/>
      <c r="AY54" s="14" t="n"/>
      <c r="AZ54" s="14" t="n"/>
      <c r="BA54" s="14" t="n"/>
      <c r="BB54" s="14" t="inlineStr">
        <is>
          <t>Apoyo ministerial/departamental indicado en el lote y norma de la ficha; gasto individual no desglosado verificado. No repartir gasto total del ministerio. Medios del MAPA (RD 854/2022)</t>
        </is>
      </c>
      <c r="BC54" s="10" t="inlineStr">
        <is>
          <t>La Mesa puede ser consultada sobre normativa de regadíos; informe no vinculante expresamente</t>
        </is>
      </c>
      <c r="BD54" s="10" t="inlineStr">
        <is>
          <t>Informe que podrá recabarse sobre planes de inversión y normativa de regadíos; facultativo en art 3(c)</t>
        </is>
      </c>
      <c r="BE54" s="10" t="inlineStr">
        <is>
          <t>No vinculante expresamente en art 3(c)</t>
        </is>
      </c>
      <c r="BF54" s="10" t="inlineStr">
        <is>
          <t>No poder de veto legislativo atribuido en funciones revisadas. Proponer cambios, informar a Cortes o participar no equivale a aprobar leyes; no certifica ausencia de reglas sectoriales posteriores.</t>
        </is>
      </c>
      <c r="BG54" s="10" t="inlineStr">
        <is>
          <t>RD854/2022 art 3(c)</t>
        </is>
      </c>
      <c r="BH54" s="10" t="inlineStr">
        <is>
          <t>https://www.boe.es/buscar/doc.php?id=BOE-A-2022-16583</t>
        </is>
      </c>
      <c r="BI54" s="12" t="n"/>
      <c r="BJ54" s="12" t="n"/>
      <c r="BK54" s="12" t="n"/>
      <c r="BL54" s="12" t="n"/>
      <c r="BM54" s="10" t="n"/>
      <c r="BN54" s="10" t="n"/>
      <c r="BO54" s="12" t="n"/>
      <c r="BP54" s="12" t="n"/>
      <c r="BQ54" s="12" t="n"/>
      <c r="BR54" s="12" t="n"/>
      <c r="BS54" s="12" t="n"/>
      <c r="BT54" s="12" t="n"/>
      <c r="BU54" s="12" t="n"/>
      <c r="BV54" s="27" t="inlineStr">
        <is>
          <t>No útil</t>
        </is>
      </c>
      <c r="BW54" s="27" t="inlineStr">
        <is>
          <t>Suprimir</t>
        </is>
      </c>
      <c r="BX54" s="27" t="inlineStr">
        <is>
          <t>Consultivo o participación</t>
        </is>
      </c>
      <c r="BY54" s="12" t="n"/>
      <c r="BZ54" s="27" t="inlineStr">
        <is>
          <t>No</t>
        </is>
      </c>
      <c r="CA54" s="27" t="inlineStr">
        <is>
          <t>No acreditada</t>
        </is>
      </c>
      <c r="CB54" s="27" t="inlineStr">
        <is>
          <t>Observatorio, consejo o comisión: el P100 los cierra salvo que su ministerio demuestre que su trabajo cambia decisiones o mejora un servicio; publicar informes no cuenta.</t>
        </is>
      </c>
      <c r="CC54" s="27" t="inlineStr">
        <is>
          <t>Explícito en el P100: Costes del Estado 2</t>
        </is>
      </c>
      <c r="CD54" s="27" t="inlineStr">
        <is>
          <t>Estructura ordinaria del ministerio, si alguna función resultara imprescindible</t>
        </is>
      </c>
      <c r="CE54" s="27" t="inlineStr">
        <is>
          <t>Regadío</t>
        </is>
      </c>
      <c r="CF54" s="12" t="n"/>
      <c r="CG54" s="27" t="inlineStr">
        <is>
          <t>Apoyo: Secretaría: una persona funcionaria A1 de la SG de Regadíos, Caminos Naturales e Infraestructuras Rurales del MAPA, que puede asistir con funcionarios de su Subdirección (art. 4.2.19.º y art. 5.3-5.4 RD 854/2022).</t>
        </is>
      </c>
      <c r="CH54" s="29">
        <f>IF(AND(ISNUMBER(BP54),ISNUMBER(AG54),AG54&gt;0),BP54*1000000/AG54,"")</f>
        <v/>
      </c>
      <c r="CI54" s="12" t="n"/>
      <c r="CJ54" s="12" t="n"/>
      <c r="CK54" s="12" t="n"/>
      <c r="CL54" s="12" t="n"/>
      <c r="CM54" s="12" t="n"/>
      <c r="CN54" s="12" t="n"/>
      <c r="CO54" s="12" t="n"/>
      <c r="CP54" s="12" t="n"/>
      <c r="CQ54" s="12" t="n"/>
      <c r="CR54" s="12" t="n"/>
      <c r="CS54" s="12" t="n"/>
    </row>
    <row r="55">
      <c r="A55" s="10" t="n">
        <v>54</v>
      </c>
      <c r="B55" s="10" t="inlineStr">
        <is>
          <t>Estatal</t>
        </is>
      </c>
      <c r="C55" s="10" t="inlineStr">
        <is>
          <t>Estado</t>
        </is>
      </c>
      <c r="D55" s="10" t="inlineStr">
        <is>
          <t>Sánchez</t>
        </is>
      </c>
      <c r="E55" s="10" t="inlineStr">
        <is>
          <t>Observatorio Estatal de la Morosidad Privada</t>
        </is>
      </c>
      <c r="F55" s="10" t="inlineStr">
        <is>
          <t>Órgano colegiado en Consejo Estatal de la PYME</t>
        </is>
      </c>
      <c r="G55" s="10" t="inlineStr">
        <is>
          <t>2022-09-28</t>
        </is>
      </c>
      <c r="H55" s="10" t="inlineStr">
        <is>
          <t>Ley 18/2022; RD 439/2024</t>
        </is>
      </c>
      <c r="I55" s="10" t="inlineStr">
        <is>
          <t>Seguir plazos de pago; informe anual a Consejo PYME y Cortes; elaborar listado de empresas incumplidoras.</t>
        </is>
      </c>
      <c r="J55" s="10" t="inlineStr">
        <is>
          <t>Juicio: Capacidad de transparencia/reputación relevante prevista, no multa automática propia. Constituida en 2025; listado depende de datos de facturación electrónica.</t>
        </is>
      </c>
      <c r="K55" s="11" t="n"/>
      <c r="L55" s="10" t="n"/>
      <c r="M55" s="10" t="n"/>
      <c r="N55" s="10" t="n"/>
      <c r="O55" s="10" t="inlineStr">
        <is>
          <t>Sin cifra propia actual verificada</t>
        </is>
      </c>
      <c r="P55" s="12" t="n"/>
      <c r="Q55" s="12" t="n"/>
      <c r="R55" s="10" t="inlineStr">
        <is>
          <t>Sin línea presupuestaria individual identificada en los tomos oficiales de prórroga consultados. La norma dispone medios del departamento; coste individual no cuantificado. No significa 0 EUR.</t>
        </is>
      </c>
      <c r="S55" s="10" t="inlineStr">
        <is>
          <t>31/08/2026 para IGAE; consulta 11/10/2026 para normas y actividad</t>
        </is>
      </c>
      <c r="T55" s="10" t="inlineStr">
        <is>
          <t>Creación acreditada; continuidad legal revisada, sin auditoría completa de actividad.</t>
        </is>
      </c>
      <c r="U55" s="10" t="inlineStr">
        <is>
          <t>No se ha verificado publicación efectiva de listado o primer informe anual; no tratar esa obligación como resultado ya obtenido.</t>
        </is>
      </c>
      <c r="V55" s="10" t="inlineStr">
        <is>
          <t>No se ha identificado relación en esta revisión (no certifica ausencia)</t>
        </is>
      </c>
      <c r="W55" s="10" t="n"/>
      <c r="X55" s="10" t="inlineStr">
        <is>
          <t>Revisión cualitativa del mandato y estado de las 95 fichas; no auditoría exhaustiva de funciones ni proyectos.</t>
        </is>
      </c>
      <c r="Y55" s="10" t="n"/>
      <c r="Z55" s="10" t="inlineStr">
        <is>
          <t>https://www.boe.es/eli/es/rd/2024/04/30/439
https://www.mintur.gob.es/es-es/gabineteprensa/notasprensa/2025/paginas/observatorio-estatal-morisidad-privada.aspx</t>
        </is>
      </c>
      <c r="AA55" s="12" t="n"/>
      <c r="AB55" s="10" t="n"/>
      <c r="AC55" s="10" t="n"/>
      <c r="AD55" s="10" t="n"/>
      <c r="AE55" s="13" t="inlineStr">
        <is>
          <t>https://files.instinct.com/q91pr53q4umo-entidades-publicas-poder-y-presupuesto</t>
        </is>
      </c>
      <c r="AF55" s="10" t="inlineStr">
        <is>
          <t>12/10/2026</t>
        </is>
      </c>
      <c r="AG55" s="10" t="n"/>
      <c r="AH55" s="10" t="n"/>
      <c r="AI55" s="10" t="inlineStr">
        <is>
          <t>Personas realmente ocupadas; no equiparar vocales, puestos RPT o apoyo ministerial con plantilla</t>
        </is>
      </c>
      <c r="AJ55" s="10" t="inlineStr">
        <is>
          <t>Pendiente: sin cifra de personal ocupado verificada en el conjunto actual</t>
        </is>
      </c>
      <c r="AK55" s="10" t="n"/>
      <c r="AL55" s="12" t="n"/>
      <c r="AM55" s="10" t="n"/>
      <c r="AN55" s="10" t="n"/>
      <c r="AO55" s="10" t="inlineStr">
        <is>
          <t>Pendiente: sin coste de personal individual verificado en el conjunto actual</t>
        </is>
      </c>
      <c r="AP55" s="10" t="n"/>
      <c r="AQ55" s="12" t="n"/>
      <c r="AR55" s="10" t="n"/>
      <c r="AS55" s="10" t="n"/>
      <c r="AT55" s="10" t="n"/>
      <c r="AU55" s="10" t="n"/>
      <c r="AV55" s="10" t="inlineStr">
        <is>
          <t>Pendiente: no se ha verificado gasto salarial ejecutado individual en esta versión</t>
        </is>
      </c>
      <c r="AW55" s="10" t="inlineStr">
        <is>
          <t>SIN CIFRA INDIVIDUAL IDENTIFICADA de presupuesto, personal ocupado y salarios ejecutados en fuentes revisadas. No significa cero ni prueba de que nada esté publicado.</t>
        </is>
      </c>
      <c r="AX55" s="14" t="n"/>
      <c r="AY55" s="14" t="n"/>
      <c r="AZ55" s="14" t="n"/>
      <c r="BA55" s="14" t="n"/>
      <c r="BB55" s="14" t="inlineStr">
        <is>
          <t>Apoyo ministerial/departamental indicado en el lote y norma de la ficha; gasto individual no desglosado verificado. No repartir gasto total del ministerio. Medios del departamento (Ley 18/2022; RD 439/2024)</t>
        </is>
      </c>
      <c r="BC55" s="10" t="inlineStr">
        <is>
          <t>Seguimiento morosidad, recomendaciones, listado e informe anual; no autorización de leyes</t>
        </is>
      </c>
      <c r="BD55" s="10" t="inlineStr">
        <is>
          <t>No informe preceptivo general sobre aprobación de leyes identificado en las funciones revisadas</t>
        </is>
      </c>
      <c r="BE55" s="10" t="inlineStr">
        <is>
          <t>No consentimiento favorable o vinculación normativa establecido en funciones revisadas</t>
        </is>
      </c>
      <c r="BF55" s="10" t="inlineStr">
        <is>
          <t>No poder de veto legislativo atribuido en funciones revisadas. Proponer cambios, informar a Cortes o participar no equivale a aprobar leyes; no certifica ausencia de reglas sectoriales posteriores.</t>
        </is>
      </c>
      <c r="BG55" s="10" t="inlineStr">
        <is>
          <t>RD962/2013 art 10, redacción RD439/2024</t>
        </is>
      </c>
      <c r="BH55" s="10" t="inlineStr">
        <is>
          <t>https://www.boe.es/eli/es/rd/2024/04/30/439</t>
        </is>
      </c>
      <c r="BI55" s="12" t="n"/>
      <c r="BJ55" s="12" t="n"/>
      <c r="BK55" s="12" t="n"/>
      <c r="BL55" s="12" t="n"/>
      <c r="BM55" s="10" t="n"/>
      <c r="BN55" s="10" t="n"/>
      <c r="BO55" s="12" t="n"/>
      <c r="BP55" s="12" t="n"/>
      <c r="BQ55" s="12" t="n"/>
      <c r="BR55" s="12" t="n"/>
      <c r="BS55" s="12" t="n"/>
      <c r="BT55" s="12" t="n"/>
      <c r="BU55" s="12" t="n"/>
      <c r="BV55" s="27" t="inlineStr">
        <is>
          <t>No útil</t>
        </is>
      </c>
      <c r="BW55" s="27" t="inlineStr">
        <is>
          <t>Suprimir</t>
        </is>
      </c>
      <c r="BX55" s="27" t="inlineStr">
        <is>
          <t>Consultivo o participación</t>
        </is>
      </c>
      <c r="BY55" s="12" t="n"/>
      <c r="BZ55" s="27" t="inlineStr">
        <is>
          <t>No</t>
        </is>
      </c>
      <c r="CA55" s="27" t="inlineStr">
        <is>
          <t>Parcial</t>
        </is>
      </c>
      <c r="CB55" s="27" t="inlineStr">
        <is>
          <t>Observatorio, consejo o comisión: el P100 los cierra salvo que su ministerio demuestre que su trabajo cambia decisiones o mejora un servicio; publicar informes no cuenta.</t>
        </is>
      </c>
      <c r="CC55" s="27" t="inlineStr">
        <is>
          <t>Explícito en el P100: Costes del Estado 2</t>
        </is>
      </c>
      <c r="CD55" s="27" t="inlineStr">
        <is>
          <t>Estructura ordinaria del ministerio, si alguna función resultara imprescindible</t>
        </is>
      </c>
      <c r="CE55" s="27" t="inlineStr">
        <is>
          <t>Morosidad</t>
        </is>
      </c>
      <c r="CF55" s="12" t="n"/>
      <c r="CG55" s="27" t="inlineStr">
        <is>
          <t>Apoyo: Secretaría: titular de la SG de Emprendimiento y PYME (art. 14.5 RD 439/2024); medios personales, técnicos y presupuestarios del Ministerio de Industria y Turismo (DA única). vocales: 20. miembros: no retribuidos (art. 14.8 RD 439/2024: «no percibirán ninguna retribución o compensación económica»).</t>
        </is>
      </c>
      <c r="CH55" s="29">
        <f>IF(AND(ISNUMBER(BP55),ISNUMBER(AG55),AG55&gt;0),BP55*1000000/AG55,"")</f>
        <v/>
      </c>
      <c r="CI55" s="12" t="n"/>
      <c r="CJ55" s="12" t="n"/>
      <c r="CK55" s="12" t="n"/>
      <c r="CL55" s="12" t="n"/>
      <c r="CM55" s="12" t="n"/>
      <c r="CN55" s="12" t="n"/>
      <c r="CO55" s="12" t="n"/>
      <c r="CP55" s="12" t="n"/>
      <c r="CQ55" s="12" t="n"/>
      <c r="CR55" s="12" t="n"/>
      <c r="CS55" s="12" t="n"/>
    </row>
    <row r="56">
      <c r="A56" s="10" t="n">
        <v>55</v>
      </c>
      <c r="B56" s="10" t="inlineStr">
        <is>
          <t>Estatal</t>
        </is>
      </c>
      <c r="C56" s="10" t="inlineStr">
        <is>
          <t>Estado</t>
        </is>
      </c>
      <c r="D56" s="10" t="inlineStr">
        <is>
          <t>Sánchez</t>
        </is>
      </c>
      <c r="E56" s="10" t="inlineStr">
        <is>
          <t>Observatorio de Márgenes Empresariales</t>
        </is>
      </c>
      <c r="F56" s="10" t="inlineStr">
        <is>
          <t>Proyecto estadístico, no organismo separado acreditado</t>
        </is>
      </c>
      <c r="G56" s="10" t="inlineStr">
        <is>
          <t>2023-07-03</t>
        </is>
      </c>
      <c r="H56" s="10" t="inlineStr">
        <is>
          <t>Proyecto conjunto Economía, Banco de España y AEAT</t>
        </is>
      </c>
      <c r="I56" s="10" t="inlineStr">
        <is>
          <t>Seguir y analizar márgenes empresariales con fuentes fiscales y contables.</t>
        </is>
      </c>
      <c r="J56" s="10" t="inlineStr">
        <is>
          <t>Juicio: Función estadística real: datos actualizados en agosto 2026. No investiga delitos ni impone precios o sanciones.</t>
        </is>
      </c>
      <c r="K56" s="11" t="n"/>
      <c r="L56" s="10" t="n"/>
      <c r="M56" s="10" t="n"/>
      <c r="N56" s="10" t="n"/>
      <c r="O56" s="10" t="inlineStr">
        <is>
          <t>Sin cifra propia actual verificada</t>
        </is>
      </c>
      <c r="P56" s="12" t="n"/>
      <c r="Q56" s="12" t="n"/>
      <c r="R56" s="10" t="inlineStr">
        <is>
          <t>Sin línea individual identificada ni personalidad presupuestaria acreditada. Coste en organismos participantes no separado.</t>
        </is>
      </c>
      <c r="S56" s="10" t="inlineStr">
        <is>
          <t>31/08/2026 para IGAE; consulta 11/10/2026 para normas y actividad</t>
        </is>
      </c>
      <c r="T56" s="10" t="inlineStr">
        <is>
          <t>Creación acreditada; continuidad legal revisada, sin auditoría completa de actividad.</t>
        </is>
      </c>
      <c r="U56" s="10" t="inlineStr">
        <is>
          <t>La nota de lanzamiento identifica la puesta en marcha, no una norma creadora con personalidad propia.</t>
        </is>
      </c>
      <c r="V56" s="10" t="inlineStr">
        <is>
          <t>No se ha identificado relación en esta revisión (no certifica ausencia)</t>
        </is>
      </c>
      <c r="W56" s="10" t="n"/>
      <c r="X56" s="10" t="inlineStr">
        <is>
          <t>Revisión cualitativa del mandato y estado de las 95 fichas; no auditoría exhaustiva de funciones ni proyectos.</t>
        </is>
      </c>
      <c r="Y56" s="10" t="n"/>
      <c r="Z56" s="10" t="inlineStr">
        <is>
          <t>https://www.bde.es/f/webbe/GAP/Secciones/SalaPrensa/NotasInformativas/23/presbe2023-57.pdf
https://www.hacienda.gob.es/es-ES/CDI/Paginas/Impuestos/OME/Observatorio-de-margenes-empresariales.aspx
https://sede.agenciatributaria.gob.es/Sede/estadisticas/observatorio-margenes-empresariales/observatorio-margenes-empresariales.html</t>
        </is>
      </c>
      <c r="AA56" s="12" t="n"/>
      <c r="AB56" s="10" t="n"/>
      <c r="AC56" s="10" t="n"/>
      <c r="AD56" s="10" t="n"/>
      <c r="AE56" s="13" t="inlineStr">
        <is>
          <t>https://files.instinct.com/q91pr53q4umo-entidades-publicas-poder-y-presupuesto</t>
        </is>
      </c>
      <c r="AF56" s="10" t="inlineStr">
        <is>
          <t>12/10/2026</t>
        </is>
      </c>
      <c r="AG56" s="10" t="n"/>
      <c r="AH56" s="10" t="n"/>
      <c r="AI56" s="10" t="inlineStr">
        <is>
          <t>Personas realmente ocupadas; no equiparar vocales, puestos RPT o apoyo ministerial con plantilla</t>
        </is>
      </c>
      <c r="AJ56" s="10" t="inlineStr">
        <is>
          <t>Pendiente: sin cifra de personal ocupado verificada en el conjunto actual</t>
        </is>
      </c>
      <c r="AK56" s="10" t="n"/>
      <c r="AL56" s="12" t="n"/>
      <c r="AM56" s="10" t="n"/>
      <c r="AN56" s="10" t="n"/>
      <c r="AO56" s="10" t="inlineStr">
        <is>
          <t>Pendiente: sin coste de personal individual verificado en el conjunto actual</t>
        </is>
      </c>
      <c r="AP56" s="10" t="n"/>
      <c r="AQ56" s="12" t="n"/>
      <c r="AR56" s="10" t="n"/>
      <c r="AS56" s="10" t="n"/>
      <c r="AT56" s="10" t="n"/>
      <c r="AU56" s="10" t="n"/>
      <c r="AV56" s="10" t="inlineStr">
        <is>
          <t>Pendiente: no se ha verificado gasto salarial ejecutado individual en esta versión</t>
        </is>
      </c>
      <c r="AW56" s="10" t="inlineStr">
        <is>
          <t>SIN CIFRA INDIVIDUAL IDENTIFICADA de presupuesto, personal ocupado y salarios ejecutados en fuentes revisadas. No significa cero ni prueba de que nada esté publicado.</t>
        </is>
      </c>
      <c r="AX56" s="14" t="n"/>
      <c r="AY56" s="14" t="n"/>
      <c r="AZ56" s="14" t="n"/>
      <c r="BA56" s="14" t="n"/>
      <c r="BB56" s="14" t="inlineStr">
        <is>
          <t>Apoyo ministerial/departamental indicado en el lote y norma de la ficha; gasto individual no desglosado verificado. No repartir gasto total del ministerio. Proyecto conjunto Economía/Hacienda; coste en organismos participantes no separado</t>
        </is>
      </c>
      <c r="BC56" s="10" t="inlineStr">
        <is>
          <t>Revisado: Observatorio márgenes</t>
        </is>
      </c>
      <c r="BD56" s="10" t="inlineStr">
        <is>
          <t>Proyecto estadístico/análisis, no órgano con personalidad legislativa. No atribución de consulta/veto localizada; alcance limitado a fuentes descriptivas oficiales.</t>
        </is>
      </c>
      <c r="BE56" s="10" t="inlineStr">
        <is>
          <t>No consentimiento favorable para leyes establecido en funciones revisadas.</t>
        </is>
      </c>
      <c r="BF56" s="10" t="inlineStr">
        <is>
          <t>No veto legislativo identificado en estas cláusulas; no pretende descartar obligaciones sectoriales en otras normas.</t>
        </is>
      </c>
      <c r="BG56" s="10" t="inlineStr">
        <is>
          <t>Descripción oficial portal yHacienda</t>
        </is>
      </c>
      <c r="BH56" s="10" t="inlineStr">
        <is>
          <t>https://www.observatoriomargenes.es/wme/es/</t>
        </is>
      </c>
      <c r="BI56" s="12" t="n"/>
      <c r="BJ56" s="12" t="n"/>
      <c r="BK56" s="12" t="n"/>
      <c r="BL56" s="12" t="n"/>
      <c r="BM56" s="10" t="n"/>
      <c r="BN56" s="10" t="n"/>
      <c r="BO56" s="12" t="n"/>
      <c r="BP56" s="12" t="n"/>
      <c r="BQ56" s="12" t="n"/>
      <c r="BR56" s="12" t="n"/>
      <c r="BS56" s="12" t="n"/>
      <c r="BT56" s="12" t="n"/>
      <c r="BU56" s="12" t="n"/>
      <c r="BV56" s="27" t="inlineStr">
        <is>
          <t>No útil</t>
        </is>
      </c>
      <c r="BW56" s="27" t="inlineStr">
        <is>
          <t>Suprimir</t>
        </is>
      </c>
      <c r="BX56" s="27" t="inlineStr">
        <is>
          <t>Consultivo o participación</t>
        </is>
      </c>
      <c r="BY56" s="12" t="n"/>
      <c r="BZ56" s="27" t="inlineStr">
        <is>
          <t>No</t>
        </is>
      </c>
      <c r="CA56" s="27" t="inlineStr">
        <is>
          <t>Acreditada</t>
        </is>
      </c>
      <c r="CB56" s="27" t="inlineStr">
        <is>
          <t>Observatorio, consejo o comisión: el P100 los cierra salvo que su ministerio demuestre que su trabajo cambia decisiones o mejora un servicio; publicar informes no cuenta.</t>
        </is>
      </c>
      <c r="CC56" s="27" t="inlineStr">
        <is>
          <t>Explícito en el P100: Costes del Estado 2</t>
        </is>
      </c>
      <c r="CD56" s="27" t="inlineStr">
        <is>
          <t>Estructura ordinaria del ministerio, si alguna función resultara imprescindible</t>
        </is>
      </c>
      <c r="CE56" s="27" t="inlineStr">
        <is>
          <t>Márgenes empresariales</t>
        </is>
      </c>
      <c r="CF56" s="12" t="n"/>
      <c r="CG56" s="27" t="inlineStr">
        <is>
          <t>Apoyo: Proyecto conjunto del Ministerio de Economía, Comercio y Empresa, el Banco de España y la AEAT; la AEAT elabora los datos cada trimestre (página OME de Hacienda; análisis AEAT).</t>
        </is>
      </c>
      <c r="CH56" s="29">
        <f>IF(AND(ISNUMBER(BP56),ISNUMBER(AG56),AG56&gt;0),BP56*1000000/AG56,"")</f>
        <v/>
      </c>
      <c r="CI56" s="12" t="n"/>
      <c r="CJ56" s="12" t="n"/>
      <c r="CK56" s="12" t="n"/>
      <c r="CL56" s="12" t="n"/>
      <c r="CM56" s="12" t="n"/>
      <c r="CN56" s="12" t="n"/>
      <c r="CO56" s="12" t="n"/>
      <c r="CP56" s="12" t="n"/>
      <c r="CQ56" s="12" t="n"/>
      <c r="CR56" s="12" t="n"/>
      <c r="CS56" s="12" t="n"/>
    </row>
    <row r="57">
      <c r="A57" s="10" t="n">
        <v>56</v>
      </c>
      <c r="B57" s="10" t="inlineStr">
        <is>
          <t>Estatal</t>
        </is>
      </c>
      <c r="C57" s="10" t="inlineStr">
        <is>
          <t>Estado</t>
        </is>
      </c>
      <c r="D57" s="10" t="inlineStr">
        <is>
          <t>Sánchez</t>
        </is>
      </c>
      <c r="E57" s="10" t="inlineStr">
        <is>
          <t>Observatorio contra el Fraude y la Corrupción Sanitaria</t>
        </is>
      </c>
      <c r="F57" s="10" t="inlineStr">
        <is>
          <t>Órgano interno nuevo</t>
        </is>
      </c>
      <c r="G57" s="10" t="inlineStr">
        <is>
          <t>2024-04-26</t>
        </is>
      </c>
      <c r="H57" s="10" t="inlineStr">
        <is>
          <t>Orden ministerial 26/04/2024 publicada por Sanidad</t>
        </is>
      </c>
      <c r="I57" s="10" t="inlineStr">
        <is>
          <t>Impulsar estrategia anticorrupción, mapas de riesgo, transparencia y propuestas a inspección de servicios.</t>
        </is>
      </c>
      <c r="J57" s="10" t="inlineStr">
        <is>
          <t>Juicio: Función preventiva comprobada: evaluación de nueve organismos en marzo 2026. No policía judicial ni órgano sancionador general. Identificar riesgos no prueba corrupción consumada.</t>
        </is>
      </c>
      <c r="K57" s="11" t="n"/>
      <c r="L57" s="10" t="n"/>
      <c r="M57" s="10" t="n"/>
      <c r="N57" s="10" t="n"/>
      <c r="O57" s="10" t="inlineStr">
        <is>
          <t>Sin cifra propia actual verificada</t>
        </is>
      </c>
      <c r="P57" s="12" t="n"/>
      <c r="Q57" s="12" t="n"/>
      <c r="R57" s="10" t="inlineStr">
        <is>
          <t>Sin línea presupuestaria individual identificada en los tomos oficiales de prórroga consultados. La norma dispone medios del departamento; coste individual no cuantificado. No significa 0 EUR.</t>
        </is>
      </c>
      <c r="S57" s="10" t="inlineStr">
        <is>
          <t>31/08/2026 para IGAE; consulta 11/10/2026 para normas y actividad</t>
        </is>
      </c>
      <c r="T57" s="10" t="inlineStr">
        <is>
          <t>Creación acreditada; continuidad legal revisada, sin auditoría completa de actividad.</t>
        </is>
      </c>
      <c r="U57" s="10" t="inlineStr">
        <is>
          <t>La información de actividad es auto-reportada por Sanidad; no auditoría externa del resultado.</t>
        </is>
      </c>
      <c r="V57" s="10" t="inlineStr">
        <is>
          <t>Ámbito próximo; facultades distintas</t>
        </is>
      </c>
      <c r="W57" s="10" t="inlineStr">
        <is>
          <t>43, 95</t>
        </is>
      </c>
      <c r="X57" s="10" t="inlineStr">
        <is>
          <t>Protección de informantes, prevención de fraude sanitario e investigación administrativa autonómica. No son funciones íntegramente equivalentes ni gasto duplicado acreditado.</t>
        </is>
      </c>
      <c r="Y57" s="10" t="inlineStr">
        <is>
          <t>https://www.boe.es/eli/es/l/2023/02/20/2/con
https://boe.es/buscar/doc.php?id=BOE-A-2024-22298
https://www.igae.pap.hacienda.gob.es/sitios/igae/es-ES/Contabilidad/ContabilidadPublica/CPE/EjecucionPresupuestaria/Documents/ORGANISMOS%2008.%202026.pdf
https://www.sanidad.gob.es/organizacion/transparenciaGobierno/OCFCS/docs/ORDEN_MINISTERIAL.OBSERVATORIO_ANTIFRAUDE._FIRMA.pdf
https://www.sanidad.gob.es/organizacion/transparenciaGobierno/OCFCS/home.htm
https://vsf-iwsold-pro-portal.sanidad.gob.es/ca/gabinete/notasPrensa.do?id=6876
https://www.boe.es/buscar/doc.php?id=BOE-A-2016-12048
https://www.antifraucv.es/wp-content/uploads/2026/03/Memoria_Avaf_2025_es.pdf</t>
        </is>
      </c>
      <c r="Z57" s="10" t="inlineStr">
        <is>
          <t>https://www.sanidad.gob.es/organizacion/transparenciaGobierno/OCFCS/docs/ORDEN_MINISTERIAL.OBSERVATORIO_ANTIFRAUDE._FIRMA.pdf
https://www.sanidad.gob.es/organizacion/transparenciaGobierno/OCFCS/home.htm
https://vsf-iwsold-pro-portal.sanidad.gob.es/ca/gabinete/notasPrensa.do?id=6876</t>
        </is>
      </c>
      <c r="AA57" s="12" t="n"/>
      <c r="AB57" s="10" t="n"/>
      <c r="AC57" s="10" t="n"/>
      <c r="AD57" s="10" t="n"/>
      <c r="AE57" s="13" t="inlineStr">
        <is>
          <t>https://files.instinct.com/q91pr53q4umo-entidades-publicas-poder-y-presupuesto</t>
        </is>
      </c>
      <c r="AF57" s="10" t="inlineStr">
        <is>
          <t>12/10/2026</t>
        </is>
      </c>
      <c r="AG57" s="10" t="n"/>
      <c r="AH57" s="10" t="n"/>
      <c r="AI57" s="10" t="inlineStr">
        <is>
          <t>Personas realmente ocupadas; no equiparar vocales, puestos RPT o apoyo ministerial con plantilla</t>
        </is>
      </c>
      <c r="AJ57" s="10" t="inlineStr">
        <is>
          <t>Pendiente: sin cifra de personal ocupado verificada en el conjunto actual</t>
        </is>
      </c>
      <c r="AK57" s="10" t="n"/>
      <c r="AL57" s="12" t="n"/>
      <c r="AM57" s="10" t="n"/>
      <c r="AN57" s="10" t="n"/>
      <c r="AO57" s="10" t="inlineStr">
        <is>
          <t>Pendiente: sin coste de personal individual verificado en el conjunto actual</t>
        </is>
      </c>
      <c r="AP57" s="10" t="n"/>
      <c r="AQ57" s="12" t="n"/>
      <c r="AR57" s="10" t="n"/>
      <c r="AS57" s="10" t="n"/>
      <c r="AT57" s="10" t="n"/>
      <c r="AU57" s="10" t="n"/>
      <c r="AV57" s="10" t="inlineStr">
        <is>
          <t>Pendiente: no se ha verificado gasto salarial ejecutado individual en esta versión</t>
        </is>
      </c>
      <c r="AW57" s="10" t="inlineStr">
        <is>
          <t>SIN CIFRA INDIVIDUAL IDENTIFICADA de presupuesto, personal ocupado y salarios ejecutados en fuentes revisadas. No significa cero ni prueba de que nada esté publicado.</t>
        </is>
      </c>
      <c r="AX57" s="14" t="n"/>
      <c r="AY57" s="14" t="n"/>
      <c r="AZ57" s="14" t="n"/>
      <c r="BA57" s="14" t="n"/>
      <c r="BB57" s="14" t="inlineStr">
        <is>
          <t>Apoyo ministerial/departamental indicado en el lote y norma de la ficha; gasto individual no desglosado verificado. No repartir gasto total del ministerio. Medios del Ministerio de Sanidad (Orden 26/04/2024)</t>
        </is>
      </c>
      <c r="BC57" s="10" t="inlineStr">
        <is>
          <t>Prevención/alertas, propuestas de mejoras y cambios legislativos antifraude; no aprobación legislativa</t>
        </is>
      </c>
      <c r="BD57" s="10" t="inlineStr">
        <is>
          <t>No informe preceptivo general sobre aprobación de leyes identificado en funciones revisadas</t>
        </is>
      </c>
      <c r="BE57" s="10" t="inlineStr">
        <is>
          <t>No consentimiento favorable o vinculación normativa establecido en funciones revisadas</t>
        </is>
      </c>
      <c r="BF57" s="10" t="inlineStr">
        <is>
          <t>No veto legislativo atribuido por las disposiciones revisadas. Proponer medidas o cambios legislativos no equivale a aprobarlos; no auditoría de todas las normas sectoriales posteriores.</t>
        </is>
      </c>
      <c r="BG57" s="10" t="inlineStr">
        <is>
          <t>Orden ministerial sanitaria de 26/04/2024, apartados Cuarto a Séptimo</t>
        </is>
      </c>
      <c r="BH57" s="10" t="inlineStr">
        <is>
          <t>https://www.sanidad.gob.es/organizacion/transparenciaGobierno/OCFCS/docs/ORDEN_MINISTERIAL.OBSERVATORIO_ANTIFRAUDE._FIRMA.pdf</t>
        </is>
      </c>
      <c r="BI57" s="12" t="n"/>
      <c r="BJ57" s="12" t="n"/>
      <c r="BK57" s="12" t="n"/>
      <c r="BL57" s="12" t="n"/>
      <c r="BM57" s="10" t="n"/>
      <c r="BN57" s="10" t="n"/>
      <c r="BO57" s="12" t="n"/>
      <c r="BP57" s="12" t="n"/>
      <c r="BQ57" s="12" t="n"/>
      <c r="BR57" s="12" t="n"/>
      <c r="BS57" s="12" t="n"/>
      <c r="BT57" s="12" t="n"/>
      <c r="BU57" s="12" t="n"/>
      <c r="BV57" s="27" t="inlineStr">
        <is>
          <t>No útil</t>
        </is>
      </c>
      <c r="BW57" s="27" t="inlineStr">
        <is>
          <t>Suprimir</t>
        </is>
      </c>
      <c r="BX57" s="27" t="inlineStr">
        <is>
          <t>Consultivo o participación</t>
        </is>
      </c>
      <c r="BY57" s="12" t="n"/>
      <c r="BZ57" s="27" t="inlineStr">
        <is>
          <t>No</t>
        </is>
      </c>
      <c r="CA57" s="27" t="inlineStr">
        <is>
          <t>Acreditada</t>
        </is>
      </c>
      <c r="CB57" s="27" t="inlineStr">
        <is>
          <t>Observatorio, consejo o comisión: el P100 los cierra salvo que su ministerio demuestre que su trabajo cambia decisiones o mejora un servicio; publicar informes no cuenta.</t>
        </is>
      </c>
      <c r="CC57" s="27" t="inlineStr">
        <is>
          <t>Explícito en el P100: Costes del Estado 2</t>
        </is>
      </c>
      <c r="CD57" s="27" t="inlineStr">
        <is>
          <t>Estructura ordinaria del ministerio, si alguna función resultara imprescindible</t>
        </is>
      </c>
      <c r="CE57" s="27" t="inlineStr">
        <is>
          <t>Fraude sanitario</t>
        </is>
      </c>
      <c r="CF57" s="12" t="n"/>
      <c r="CG57" s="27" t="inlineStr">
        <is>
          <t>Apoyo: Secretaría General Técnica del Ministerio de Sanidad: secretaría (apdo. Tercero.1.c) y coordinación de la Comisión Permanente (apdo. Noveno); medios materiales y personales del Departamento (apdo. Décimo). vocales: 6.</t>
        </is>
      </c>
      <c r="CH57" s="29">
        <f>IF(AND(ISNUMBER(BP57),ISNUMBER(AG57),AG57&gt;0),BP57*1000000/AG57,"")</f>
        <v/>
      </c>
      <c r="CI57" s="12" t="n"/>
      <c r="CJ57" s="12" t="n"/>
      <c r="CK57" s="12" t="n"/>
      <c r="CL57" s="12" t="n"/>
      <c r="CM57" s="12" t="n"/>
      <c r="CN57" s="12" t="n"/>
      <c r="CO57" s="12" t="n"/>
      <c r="CP57" s="12" t="n"/>
      <c r="CQ57" s="12" t="n"/>
      <c r="CR57" s="12" t="n"/>
      <c r="CS57" s="12" t="n"/>
    </row>
    <row r="58">
      <c r="A58" s="10" t="n">
        <v>57</v>
      </c>
      <c r="B58" s="10" t="inlineStr">
        <is>
          <t>Estatal</t>
        </is>
      </c>
      <c r="C58" s="10" t="inlineStr">
        <is>
          <t>Estado</t>
        </is>
      </c>
      <c r="D58" s="10" t="inlineStr">
        <is>
          <t>Sánchez</t>
        </is>
      </c>
      <c r="E58" s="10" t="inlineStr">
        <is>
          <t>Observatorio de Conducta Ética de la Guardia Civil</t>
        </is>
      </c>
      <c r="F58" s="10" t="inlineStr">
        <is>
          <t>Unidad organizativa y de asesoramiento</t>
        </is>
      </c>
      <c r="G58" s="10" t="inlineStr">
        <is>
          <t>2024-08-08</t>
        </is>
      </c>
      <c r="H58" s="10" t="inlineStr">
        <is>
          <t>Orden PJC/849/2024, art.8</t>
        </is>
      </c>
      <c r="I58" s="10" t="inlineStr">
        <is>
          <t>Seguir, impulsar y evaluar aplicación del código de conducta; asesorar al comité de gestión ética.</t>
        </is>
      </c>
      <c r="J58" s="10" t="inlineStr">
        <is>
          <t>Juicio: Función interna de seguimiento; no mando policial independiente ni potestad disciplinaria propia atribuida por esta norma.</t>
        </is>
      </c>
      <c r="K58" s="11" t="n"/>
      <c r="L58" s="10" t="n"/>
      <c r="M58" s="10" t="n"/>
      <c r="N58" s="10" t="n"/>
      <c r="O58" s="10" t="inlineStr">
        <is>
          <t>Sin cifra propia actual verificada</t>
        </is>
      </c>
      <c r="P58" s="12" t="n"/>
      <c r="Q58" s="12" t="n"/>
      <c r="R58" s="10" t="inlineStr">
        <is>
          <t>Sin línea presupuestaria individual identificada en los tomos oficiales de prórroga consultados. La norma dispone medios del departamento; coste individual no cuantificado. No significa 0 EUR.</t>
        </is>
      </c>
      <c r="S58" s="10" t="inlineStr">
        <is>
          <t>31/08/2026 para IGAE; consulta 11/10/2026 para normas y actividad</t>
        </is>
      </c>
      <c r="T58" s="10" t="inlineStr">
        <is>
          <t>Creación acreditada; continuidad legal revisada, sin auditoría completa de actividad.</t>
        </is>
      </c>
      <c r="U58" s="10" t="inlineStr">
        <is>
          <t>Nivel orgánico depende de RPT; puestos ocupados y productos actuales no comprobados.</t>
        </is>
      </c>
      <c r="V58" s="10" t="inlineStr">
        <is>
          <t>No se ha identificado relación en esta revisión (no certifica ausencia)</t>
        </is>
      </c>
      <c r="W58" s="10" t="n"/>
      <c r="X58" s="10" t="inlineStr">
        <is>
          <t>Revisión cualitativa del mandato y estado de las 95 fichas; no auditoría exhaustiva de funciones ni proyectos.</t>
        </is>
      </c>
      <c r="Y58" s="10" t="n"/>
      <c r="Z58" s="30" t="inlineStr">
        <is>
          <t>https://www.boe.es/diario_boe/txt.php?id=BOE-A-2024-16600
https://www.boe.es/boe/dias/2024/08/10/pdfs/BOE-A-2024-16600.pdf</t>
        </is>
      </c>
      <c r="AA58" s="12" t="n"/>
      <c r="AB58" s="10" t="n"/>
      <c r="AC58" s="10" t="n"/>
      <c r="AD58" s="10" t="n"/>
      <c r="AE58" s="13" t="inlineStr">
        <is>
          <t>https://files.instinct.com/q91pr53q4umo-entidades-publicas-poder-y-presupuesto</t>
        </is>
      </c>
      <c r="AF58" s="10" t="inlineStr">
        <is>
          <t>12/10/2026</t>
        </is>
      </c>
      <c r="AG58" s="10" t="n"/>
      <c r="AH58" s="10" t="n"/>
      <c r="AI58" s="10" t="inlineStr">
        <is>
          <t>Personas realmente ocupadas; no equiparar vocales, puestos RPT o apoyo ministerial con plantilla</t>
        </is>
      </c>
      <c r="AJ58" s="10" t="inlineStr">
        <is>
          <t>Pendiente: sin cifra de personal ocupado verificada en el conjunto actual</t>
        </is>
      </c>
      <c r="AK58" s="10" t="n"/>
      <c r="AL58" s="12" t="n"/>
      <c r="AM58" s="10" t="n"/>
      <c r="AN58" s="10" t="n"/>
      <c r="AO58" s="10" t="inlineStr">
        <is>
          <t>Pendiente: sin coste de personal individual verificado en el conjunto actual</t>
        </is>
      </c>
      <c r="AP58" s="10" t="n"/>
      <c r="AQ58" s="12" t="n"/>
      <c r="AR58" s="10" t="n"/>
      <c r="AS58" s="10" t="n"/>
      <c r="AT58" s="10" t="n"/>
      <c r="AU58" s="10" t="n"/>
      <c r="AV58" s="10" t="inlineStr">
        <is>
          <t>Pendiente: no se ha verificado gasto salarial ejecutado individual en esta versión</t>
        </is>
      </c>
      <c r="AW58" s="10" t="inlineStr">
        <is>
          <t>SIN CIFRA INDIVIDUAL IDENTIFICADA de presupuesto, personal ocupado y salarios ejecutados en fuentes revisadas. No significa cero ni prueba de que nada esté publicado.</t>
        </is>
      </c>
      <c r="AX58" s="14" t="n"/>
      <c r="AY58" s="14" t="n"/>
      <c r="AZ58" s="14" t="n"/>
      <c r="BA58" s="14" t="n"/>
      <c r="BB58" s="14" t="inlineStr">
        <is>
          <t>Apoyo ministerial/departamental indicado en el lote y norma de la ficha; gasto individual no desglosado verificado. No repartir gasto total del ministerio. Medios del Ministerio del Interior (Orden PJC/849/2024)</t>
        </is>
      </c>
      <c r="BC58" s="10" t="inlineStr">
        <is>
          <t>Asesoramiento técnico interno al comité ético y seguimiento del código de Guardia Civil</t>
        </is>
      </c>
      <c r="BD58" s="10" t="inlineStr">
        <is>
          <t>No informe preceptivo general sobre aprobación de leyes identificado en las funciones revisadas</t>
        </is>
      </c>
      <c r="BE58" s="10" t="inlineStr">
        <is>
          <t>No consentimiento favorable o vinculación normativa establecido en funciones revisadas</t>
        </is>
      </c>
      <c r="BF58" s="10" t="inlineStr">
        <is>
          <t>No poder de veto legislativo atribuido en funciones revisadas. Proponer cambios, informar a Cortes o participar no equivale a aprobar leyes; no certifica ausencia de reglas sectoriales posteriores.</t>
        </is>
      </c>
      <c r="BG58" s="10" t="inlineStr">
        <is>
          <t>OrdenPJC/849/2024 art 8</t>
        </is>
      </c>
      <c r="BH58" s="10" t="inlineStr">
        <is>
          <t>https://www.boe.es/diario_boe/txt.php?id=BOE-A-2024-16600</t>
        </is>
      </c>
      <c r="BI58" s="12" t="n"/>
      <c r="BJ58" s="12" t="n"/>
      <c r="BK58" s="12" t="n"/>
      <c r="BL58" s="12" t="n"/>
      <c r="BM58" s="10" t="n"/>
      <c r="BN58" s="10" t="n"/>
      <c r="BO58" s="12" t="n"/>
      <c r="BP58" s="12" t="n"/>
      <c r="BQ58" s="12" t="n"/>
      <c r="BR58" s="12" t="n"/>
      <c r="BS58" s="12" t="n"/>
      <c r="BT58" s="12" t="n"/>
      <c r="BU58" s="12" t="n"/>
      <c r="BV58" s="27" t="inlineStr">
        <is>
          <t>No útil</t>
        </is>
      </c>
      <c r="BW58" s="27" t="inlineStr">
        <is>
          <t>Suprimir</t>
        </is>
      </c>
      <c r="BX58" s="27" t="inlineStr">
        <is>
          <t>Consultivo o participación</t>
        </is>
      </c>
      <c r="BY58" s="12" t="n"/>
      <c r="BZ58" s="27" t="inlineStr">
        <is>
          <t>No</t>
        </is>
      </c>
      <c r="CA58" s="27" t="inlineStr">
        <is>
          <t>No acreditada</t>
        </is>
      </c>
      <c r="CB58" s="27" t="inlineStr">
        <is>
          <t>Observatorio, consejo o comisión: el P100 los cierra salvo que su ministerio demuestre que su trabajo cambia decisiones o mejora un servicio; publicar informes no cuenta.</t>
        </is>
      </c>
      <c r="CC58" s="27" t="inlineStr">
        <is>
          <t>Explícito en el P100: Costes del Estado 2</t>
        </is>
      </c>
      <c r="CD58" s="27" t="inlineStr">
        <is>
          <t>Estructura ordinaria del ministerio, si alguna función resultara imprescindible</t>
        </is>
      </c>
      <c r="CE58" s="27" t="inlineStr">
        <is>
          <t>Ética de la Guardia Civil</t>
        </is>
      </c>
      <c r="CF58" s="12" t="n"/>
      <c r="CG58" s="27" t="inlineStr">
        <is>
          <t>Apoyo: Es una unidad organizativa de los Servicios Centrales de la DGGC (art. 8; DF 1.ª, nivel orgánico según RPT) y se apoya en las demás jefaturas (art. 8.2); medios de la DGGC (DA única).</t>
        </is>
      </c>
      <c r="CH58" s="29">
        <f>IF(AND(ISNUMBER(BP58),ISNUMBER(AG58),AG58&gt;0),BP58*1000000/AG58,"")</f>
        <v/>
      </c>
      <c r="CI58" s="12" t="n"/>
      <c r="CJ58" s="12" t="n"/>
      <c r="CK58" s="12" t="n"/>
      <c r="CL58" s="12" t="n"/>
      <c r="CM58" s="12" t="n"/>
      <c r="CN58" s="12" t="n"/>
      <c r="CO58" s="12" t="n"/>
      <c r="CP58" s="12" t="n"/>
      <c r="CQ58" s="12" t="n"/>
      <c r="CR58" s="12" t="n"/>
      <c r="CS58" s="12" t="n"/>
    </row>
    <row r="59">
      <c r="A59" s="10" t="n">
        <v>58</v>
      </c>
      <c r="B59" s="10" t="inlineStr">
        <is>
          <t>Estatal</t>
        </is>
      </c>
      <c r="C59" s="10" t="inlineStr">
        <is>
          <t>Estado</t>
        </is>
      </c>
      <c r="D59" s="10" t="inlineStr">
        <is>
          <t>Sánchez</t>
        </is>
      </c>
      <c r="E59" s="10" t="inlineStr">
        <is>
          <t>Observatorio de Gobierno Abierto</t>
        </is>
      </c>
      <c r="F59" s="10" t="inlineStr">
        <is>
          <t>Espacio virtual, no persona jurídica</t>
        </is>
      </c>
      <c r="G59" s="10" t="inlineStr">
        <is>
          <t>2026-05-06</t>
        </is>
      </c>
      <c r="H59" s="10" t="inlineStr">
        <is>
          <t>RD 371/2026, art.19</t>
        </is>
      </c>
      <c r="I59" s="10" t="inlineStr">
        <is>
          <t>Recopilar y difundir buenas prácticas de transparencia, participación e integridad en el Portal de Transparencia.</t>
        </is>
      </c>
      <c r="J59" s="10" t="inlineStr">
        <is>
          <t>Juicio: Repositorio y difusión, sin decisiones vinculantes. Su naturaleza digital no prueba inutilidad; actividad concreta aún no verificada.</t>
        </is>
      </c>
      <c r="K59" s="11" t="n"/>
      <c r="L59" s="10" t="n"/>
      <c r="M59" s="10" t="n"/>
      <c r="N59" s="10" t="n"/>
      <c r="O59" s="10" t="inlineStr">
        <is>
          <t>Sin cifra propia actual verificada</t>
        </is>
      </c>
      <c r="P59" s="12" t="n"/>
      <c r="Q59" s="12" t="n"/>
      <c r="R59" s="10" t="inlineStr">
        <is>
          <t>Sin línea presupuestaria individual identificada en los tomos oficiales de prórroga consultados. La norma dispone medios del departamento; coste individual no cuantificado. No significa 0 EUR.</t>
        </is>
      </c>
      <c r="S59" s="10" t="inlineStr">
        <is>
          <t>31/08/2026 para IGAE; consulta 11/10/2026 para normas y actividad</t>
        </is>
      </c>
      <c r="T59" s="10" t="inlineStr">
        <is>
          <t>Creación acreditada; continuidad legal revisada, sin auditoría completa de actividad.</t>
        </is>
      </c>
      <c r="U59" s="10" t="inlineStr">
        <is>
          <t>El Foro asociado existía desde febrero 2018 y se regula otra vez en 2026; no contar todo el Foro como invención Sánchez.</t>
        </is>
      </c>
      <c r="V59" s="10" t="inlineStr">
        <is>
          <t>No se ha identificado relación en esta revisión (no certifica ausencia)</t>
        </is>
      </c>
      <c r="W59" s="10" t="n"/>
      <c r="X59" s="10" t="inlineStr">
        <is>
          <t>Revisión cualitativa del mandato y estado de las 95 fichas; no auditoría exhaustiva de funciones ni proyectos.</t>
        </is>
      </c>
      <c r="Y59" s="10" t="n"/>
      <c r="Z59" s="10" t="inlineStr">
        <is>
          <t>https://www.boe.es/eli/es/rd/2026/05/06/371</t>
        </is>
      </c>
      <c r="AA59" s="12" t="n"/>
      <c r="AB59" s="10" t="n"/>
      <c r="AC59" s="10" t="n"/>
      <c r="AD59" s="10" t="n"/>
      <c r="AE59" s="13" t="inlineStr">
        <is>
          <t>https://files.instinct.com/q91pr53q4umo-entidades-publicas-poder-y-presupuesto</t>
        </is>
      </c>
      <c r="AF59" s="10" t="inlineStr">
        <is>
          <t>12/10/2026</t>
        </is>
      </c>
      <c r="AG59" s="10" t="n"/>
      <c r="AH59" s="10" t="n"/>
      <c r="AI59" s="10" t="inlineStr">
        <is>
          <t>Personas realmente ocupadas; no equiparar vocales, puestos RPT o apoyo ministerial con plantilla</t>
        </is>
      </c>
      <c r="AJ59" s="10" t="inlineStr">
        <is>
          <t>Pendiente: sin cifra de personal ocupado verificada en el conjunto actual</t>
        </is>
      </c>
      <c r="AK59" s="10" t="n"/>
      <c r="AL59" s="12" t="n"/>
      <c r="AM59" s="10" t="n"/>
      <c r="AN59" s="10" t="n"/>
      <c r="AO59" s="10" t="inlineStr">
        <is>
          <t>Pendiente: sin coste de personal individual verificado en el conjunto actual</t>
        </is>
      </c>
      <c r="AP59" s="10" t="n"/>
      <c r="AQ59" s="12" t="n"/>
      <c r="AR59" s="10" t="n"/>
      <c r="AS59" s="10" t="n"/>
      <c r="AT59" s="10" t="n"/>
      <c r="AU59" s="10" t="n"/>
      <c r="AV59" s="10" t="inlineStr">
        <is>
          <t>Pendiente: no se ha verificado gasto salarial ejecutado individual en esta versión</t>
        </is>
      </c>
      <c r="AW59" s="10" t="inlineStr">
        <is>
          <t>SIN CIFRA INDIVIDUAL IDENTIFICADA de presupuesto, personal ocupado y salarios ejecutados en fuentes revisadas. No significa cero ni prueba de que nada esté publicado.</t>
        </is>
      </c>
      <c r="AX59" s="14" t="n"/>
      <c r="AY59" s="14" t="n"/>
      <c r="AZ59" s="14" t="n"/>
      <c r="BA59" s="14" t="n"/>
      <c r="BB59" s="14" t="inlineStr">
        <is>
          <t>Apoyo ministerial/departamental indicado en el lote y norma de la ficha; gasto individual no desglosado verificado. No repartir gasto total del ministerio. Medios del departamento (RD 371/2026, art.19)</t>
        </is>
      </c>
      <c r="BC59" s="10" t="inlineStr">
        <is>
          <t>Espacio virtual para buenas prácticas, no órgano de aprobación normativa</t>
        </is>
      </c>
      <c r="BD59" s="10" t="inlineStr">
        <is>
          <t>No informe preceptivo general sobre aprobación de leyes identificado en las funciones revisadas</t>
        </is>
      </c>
      <c r="BE59" s="10" t="inlineStr">
        <is>
          <t>No consentimiento favorable o vinculación normativa establecido en funciones revisadas</t>
        </is>
      </c>
      <c r="BF59" s="10" t="inlineStr">
        <is>
          <t>No poder de veto legislativo atribuido en funciones revisadas. Proponer cambios, informar a Cortes o participar no equivale a aprobar leyes; no certifica ausencia de reglas sectoriales posteriores.</t>
        </is>
      </c>
      <c r="BG59" s="10" t="inlineStr">
        <is>
          <t>RD371/2026 art 19</t>
        </is>
      </c>
      <c r="BH59" s="10" t="inlineStr">
        <is>
          <t>https://www.boe.es/eli/es/rd/2026/05/06/371</t>
        </is>
      </c>
      <c r="BI59" s="12" t="n"/>
      <c r="BJ59" s="12" t="n"/>
      <c r="BK59" s="12" t="n"/>
      <c r="BL59" s="12" t="n"/>
      <c r="BM59" s="10" t="n"/>
      <c r="BN59" s="10" t="n"/>
      <c r="BO59" s="12" t="n"/>
      <c r="BP59" s="12" t="n"/>
      <c r="BQ59" s="12" t="n"/>
      <c r="BR59" s="12" t="n"/>
      <c r="BS59" s="12" t="n"/>
      <c r="BT59" s="12" t="n"/>
      <c r="BU59" s="12" t="n"/>
      <c r="BV59" s="27" t="inlineStr">
        <is>
          <t>No útil</t>
        </is>
      </c>
      <c r="BW59" s="27" t="inlineStr">
        <is>
          <t>Suprimir</t>
        </is>
      </c>
      <c r="BX59" s="27" t="inlineStr">
        <is>
          <t>Consultivo o participación</t>
        </is>
      </c>
      <c r="BY59" s="12" t="n"/>
      <c r="BZ59" s="27" t="inlineStr">
        <is>
          <t>No</t>
        </is>
      </c>
      <c r="CA59" s="27" t="inlineStr">
        <is>
          <t>No acreditada</t>
        </is>
      </c>
      <c r="CB59" s="27" t="inlineStr">
        <is>
          <t>Observatorio, consejo o comisión: el P100 los cierra salvo que su ministerio demuestre que su trabajo cambia decisiones o mejora un servicio; publicar informes no cuenta.</t>
        </is>
      </c>
      <c r="CC59" s="27" t="inlineStr">
        <is>
          <t>Explícito en el P100: Costes del Estado 2</t>
        </is>
      </c>
      <c r="CD59" s="27" t="inlineStr">
        <is>
          <t>Estructura ordinaria del ministerio, si alguna función resultara imprescindible</t>
        </is>
      </c>
      <c r="CE59" s="27" t="inlineStr">
        <is>
          <t>Gobierno abierto</t>
        </is>
      </c>
      <c r="CF59" s="12" t="n"/>
      <c r="CG59" s="27" t="inlineStr">
        <is>
          <t>Apoyo: MTDFP a través de la SE de Función Pública, que diseña y mantiene el Observatorio (art. 19.2 RD 371/2026); DG de Gobernanza Pública, para los cauces de buenas prácticas (art. 19.6); SG de Gobierno Abierto, secretaría del Foro (art. 13.1).</t>
        </is>
      </c>
      <c r="CH59" s="29">
        <f>IF(AND(ISNUMBER(BP59),ISNUMBER(AG59),AG59&gt;0),BP59*1000000/AG59,"")</f>
        <v/>
      </c>
      <c r="CI59" s="12" t="n"/>
      <c r="CJ59" s="12" t="n"/>
      <c r="CK59" s="12" t="n"/>
      <c r="CL59" s="12" t="n"/>
      <c r="CM59" s="12" t="n"/>
      <c r="CN59" s="12" t="n"/>
      <c r="CO59" s="12" t="n"/>
      <c r="CP59" s="12" t="n"/>
      <c r="CQ59" s="12" t="n"/>
      <c r="CR59" s="12" t="n"/>
      <c r="CS59" s="12" t="n"/>
    </row>
    <row r="60">
      <c r="A60" s="10" t="n">
        <v>59</v>
      </c>
      <c r="B60" s="10" t="inlineStr">
        <is>
          <t>Estatal</t>
        </is>
      </c>
      <c r="C60" s="10" t="inlineStr">
        <is>
          <t>Estado</t>
        </is>
      </c>
      <c r="D60" s="10" t="inlineStr">
        <is>
          <t>Sánchez</t>
        </is>
      </c>
      <c r="E60" s="10" t="inlineStr">
        <is>
          <t>Observatorio de Digitalización del Sector Agroalimentario</t>
        </is>
      </c>
      <c r="F60" s="10" t="inlineStr">
        <is>
          <t>Proyecto público-privado por convenio</t>
        </is>
      </c>
      <c r="G60" s="10" t="inlineStr">
        <is>
          <t>2021-10-10</t>
        </is>
      </c>
      <c r="H60" s="10" t="inlineStr">
        <is>
          <t>Convenio MAPA-Cajamar 10/10/2021; adenda 2023</t>
        </is>
      </c>
      <c r="I60" s="10" t="inlineStr">
        <is>
          <t>Indicadores y análisis de adopción de tecnologías en el sector y orientación de políticas.</t>
        </is>
      </c>
      <c r="J60" s="10" t="inlineStr">
        <is>
          <t>Juicio: Función analítica financiada, no regulador. La norma y convenio acreditan tareas, no eficacia ni continuidad 2026.</t>
        </is>
      </c>
      <c r="K60" s="11" t="n"/>
      <c r="L60" s="10" t="n"/>
      <c r="M60" s="10" t="n"/>
      <c r="N60" s="10" t="n"/>
      <c r="O60" s="30" t="inlineStr">
        <is>
          <t>Sin presupuesto propio: órgano sin dotación diferenciada (financiación por convenio, verificada en BOE)</t>
        </is>
      </c>
      <c r="P60" s="12" t="n"/>
      <c r="Q60" s="12" t="n"/>
      <c r="R60" s="10" t="inlineStr">
        <is>
          <t>Convenio histórico: 1,370 M EUR 2021-2025 tras +0,370 M de adenda; 185.000 EUR en 2024 y 185.000 en 2025. No es presupuesto anual 2026; continuidad/cifra actual pendientes.</t>
        </is>
      </c>
      <c r="S60" s="10" t="inlineStr">
        <is>
          <t>31/08/2026 para IGAE; consulta 11/10/2026 para normas y actividad</t>
        </is>
      </c>
      <c r="T60" s="10" t="inlineStr">
        <is>
          <t>Creación acreditada; continuidad legal revisada, sin auditoría completa de actividad.</t>
        </is>
      </c>
      <c r="U60" s="10" t="inlineStr">
        <is>
          <t>Financiación acotada, no total presupuesto MAPA. Convenio leído termina 31/12/2025; falta confirmar extensión posterior.</t>
        </is>
      </c>
      <c r="V60" s="10" t="inlineStr">
        <is>
          <t>No se ha identificado relación en esta revisión (no certifica ausencia)</t>
        </is>
      </c>
      <c r="W60" s="10" t="n"/>
      <c r="X60" s="10" t="inlineStr">
        <is>
          <t>Revisión cualitativa del mandato y estado de las 95 fichas; no auditoría exhaustiva de funciones ni proyectos.</t>
        </is>
      </c>
      <c r="Y60" s="10" t="n"/>
      <c r="Z60" s="30" t="inlineStr">
        <is>
          <t>https://www.boe.es/boe/dias/2021/10/19/pdfs/BOE-A-2021-17025.pdf
https://www.boe.es/diario_boe/txt.php?id=BOE-A-2024-323
https://www.boe.es/diario_boe/txt.php?id=BOE-A-2025-26325</t>
        </is>
      </c>
      <c r="AA60" s="12" t="n">
        <v>1.37</v>
      </c>
      <c r="AB60" s="10" t="inlineStr">
        <is>
          <t>2021-2025</t>
        </is>
      </c>
      <c r="AC60" s="10" t="inlineStr">
        <is>
          <t>Convenio histórico plurianual; 185.000 EUR en 2024 y 2025</t>
        </is>
      </c>
      <c r="AD60" s="10" t="inlineStr">
        <is>
          <t>Observatorio de Digitalización del Sector Agroalimentario</t>
        </is>
      </c>
      <c r="AE60" s="13" t="inlineStr">
        <is>
          <t>https://files.instinct.com/q91pr53q4umo-entidades-publicas-poder-y-presupuesto</t>
        </is>
      </c>
      <c r="AF60" s="10" t="inlineStr">
        <is>
          <t>12/10/2026</t>
        </is>
      </c>
      <c r="AG60" s="10" t="n"/>
      <c r="AH60" s="10" t="n"/>
      <c r="AI60" s="10" t="inlineStr">
        <is>
          <t>Personas realmente ocupadas; no equiparar vocales, puestos RPT o apoyo ministerial con plantilla</t>
        </is>
      </c>
      <c r="AJ60" s="10" t="inlineStr">
        <is>
          <t>Pendiente: sin cifra de personal ocupado verificada en el conjunto actual</t>
        </is>
      </c>
      <c r="AK60" s="10" t="n"/>
      <c r="AL60" s="12" t="n"/>
      <c r="AM60" s="10" t="n"/>
      <c r="AN60" s="10" t="n"/>
      <c r="AO60" s="10" t="inlineStr">
        <is>
          <t>Pendiente: sin coste de personal individual verificado en el conjunto actual</t>
        </is>
      </c>
      <c r="AP60" s="10" t="n"/>
      <c r="AQ60" s="12" t="n"/>
      <c r="AR60" s="10" t="n"/>
      <c r="AS60" s="10" t="n"/>
      <c r="AT60" s="10" t="n"/>
      <c r="AU60" s="10" t="n"/>
      <c r="AV60" s="10" t="inlineStr">
        <is>
          <t>Pendiente: no se ha verificado gasto salarial ejecutado individual en esta versión</t>
        </is>
      </c>
      <c r="AW60" s="10" t="inlineStr">
        <is>
          <t>SIN CIFRA INDIVIDUAL IDENTIFICADA de presupuesto, personal ocupado y salarios ejecutados en fuentes revisadas. No significa cero ni prueba de que nada esté publicado.</t>
        </is>
      </c>
      <c r="AX60" s="14" t="n"/>
      <c r="AY60" s="14" t="n"/>
      <c r="AZ60" s="14" t="n"/>
      <c r="BA60" s="14" t="n"/>
      <c r="BB60" s="14" t="inlineStr">
        <is>
          <t>Apoyo ministerial/departamental indicado en el lote y norma de la ficha; gasto individual no desglosado verificado. No repartir gasto total del ministerio. Convenio MAPA-Fundación Cajamar: personal del convenio, no plantilla pública</t>
        </is>
      </c>
      <c r="BC60" s="10" t="inlineStr">
        <is>
          <t>Convenio para indicadores, análisis y seguimiento de digitalización, apoyo a políticas</t>
        </is>
      </c>
      <c r="BD60" s="10" t="inlineStr">
        <is>
          <t>No informe preceptivo general sobre aprobación de leyes identificado en funciones revisadas</t>
        </is>
      </c>
      <c r="BE60" s="10" t="inlineStr">
        <is>
          <t>No consentimiento favorable o vinculación normativa establecido en funciones revisadas</t>
        </is>
      </c>
      <c r="BF60" s="10" t="inlineStr">
        <is>
          <t>No veto legislativo atribuido por las disposiciones revisadas. Proponer medidas o cambios legislativos no equivale a aprobarlos; no auditoría de todas las normas sectoriales posteriores.</t>
        </is>
      </c>
      <c r="BG60" s="10" t="inlineStr">
        <is>
          <t>Convenio MAPA-Cajamar 2021, cláusulas Primera y Segunda</t>
        </is>
      </c>
      <c r="BH60" s="10" t="inlineStr">
        <is>
          <t>https://www.boe.es/boe/dias/2021/10/19/pdfs/BOE-A-2021-17025.pdf</t>
        </is>
      </c>
      <c r="BI60" s="12" t="n"/>
      <c r="BJ60" s="12" t="n"/>
      <c r="BK60" s="12" t="n"/>
      <c r="BL60" s="12" t="n"/>
      <c r="BM60" s="10" t="n"/>
      <c r="BN60" s="10" t="n"/>
      <c r="BO60" s="12" t="n"/>
      <c r="BP60" s="12" t="n"/>
      <c r="BQ60" s="12" t="n"/>
      <c r="BR60" s="12" t="n"/>
      <c r="BS60" s="12" t="n"/>
      <c r="BT60" s="12" t="n"/>
      <c r="BU60" s="12" t="n"/>
      <c r="BV60" s="27" t="inlineStr">
        <is>
          <t>No útil</t>
        </is>
      </c>
      <c r="BW60" s="27" t="inlineStr">
        <is>
          <t>Suprimir</t>
        </is>
      </c>
      <c r="BX60" s="27" t="inlineStr">
        <is>
          <t>Consultivo o participación</t>
        </is>
      </c>
      <c r="BY60" s="12" t="n"/>
      <c r="BZ60" s="27" t="inlineStr">
        <is>
          <t>No</t>
        </is>
      </c>
      <c r="CA60" s="27" t="inlineStr">
        <is>
          <t>Acreditada</t>
        </is>
      </c>
      <c r="CB60" s="27" t="inlineStr">
        <is>
          <t>Observatorio, consejo o comisión: el P100 los cierra salvo que su ministerio demuestre que su trabajo cambia decisiones o mejora un servicio; publicar informes no cuenta.</t>
        </is>
      </c>
      <c r="CC60" s="27" t="inlineStr">
        <is>
          <t>Explícito en el P100: Costes del Estado 2</t>
        </is>
      </c>
      <c r="CD60" s="27" t="inlineStr">
        <is>
          <t>Estructura ordinaria del ministerio, si alguna función resultara imprescindible</t>
        </is>
      </c>
      <c r="CE60" s="27" t="inlineStr">
        <is>
          <t>Digitalización agroalimentaria</t>
        </is>
      </c>
      <c r="CF60" s="12" t="n"/>
      <c r="CG60" s="27" t="inlineStr">
        <is>
          <t>Apoyo: Por el MAPA, medios humanos de la SG de Innovación y Digitalización (DGDRIFA); Cajamar ejecuta con medios propios (Plan Director y oficina técnica; adenda 2023, cláusula 4.ª). gasto con nombre propio: 1.570.000 EUR: presupuesto total del convenio MAPA-Cajamar 2021-2026, con anualidad 2026 de 200.000 EUR (segunda adenda, cláusula 6.ª, BOE 22/12/2025, https://www.boe.es/diario_boe/txt.php?id=BOE-A-2025-26325).</t>
        </is>
      </c>
      <c r="CH60" s="29">
        <f>IF(AND(ISNUMBER(BP60),ISNUMBER(AG60),AG60&gt;0),BP60*1000000/AG60,"")</f>
        <v/>
      </c>
      <c r="CI60" s="12" t="n"/>
      <c r="CJ60" s="12" t="n"/>
      <c r="CK60" s="12" t="n"/>
      <c r="CL60" s="12" t="n"/>
      <c r="CM60" s="12" t="n"/>
      <c r="CN60" s="12" t="n"/>
      <c r="CO60" s="12" t="n"/>
      <c r="CP60" s="12" t="n"/>
      <c r="CQ60" s="12" t="n"/>
      <c r="CR60" s="12" t="n"/>
      <c r="CS60" s="12" t="n"/>
    </row>
    <row r="61">
      <c r="A61" s="10" t="n">
        <v>60</v>
      </c>
      <c r="B61" s="10" t="inlineStr">
        <is>
          <t>Estatal</t>
        </is>
      </c>
      <c r="C61" s="10" t="inlineStr">
        <is>
          <t>Estado</t>
        </is>
      </c>
      <c r="D61" s="10" t="inlineStr">
        <is>
          <t>Sánchez</t>
        </is>
      </c>
      <c r="E61" s="10" t="inlineStr">
        <is>
          <t>Observatorio de Derechos Digitales</t>
        </is>
      </c>
      <c r="F61" s="10" t="inlineStr">
        <is>
          <t>Proyecto público-privado, no autoridad sancionadora</t>
        </is>
      </c>
      <c r="G61" s="10" t="inlineStr">
        <is>
          <t>2024-2025</t>
        </is>
      </c>
      <c r="H61" s="10" t="inlineStr">
        <is>
          <t>Convenio Red.es-grupo de entidades, publicación 10/07/2024; presentación 2025</t>
        </is>
      </c>
      <c r="I61" s="10" t="inlineStr">
        <is>
          <t>Estudiar, difundir y promover implementación de la Carta de Derechos Digitales.</t>
        </is>
      </c>
      <c r="J61" s="10" t="inlineStr">
        <is>
          <t>Juicio: Función divulgativa/técnica comprobada: informes, podcasts y actividades publicados. No sustituye AEPD ni crea por sí mismo derechos exigibles nuevos.</t>
        </is>
      </c>
      <c r="K61" s="11" t="n"/>
      <c r="L61" s="10" t="n"/>
      <c r="M61" s="10" t="n"/>
      <c r="N61" s="10" t="n"/>
      <c r="O61" s="30" t="inlineStr">
        <is>
          <t>Sin presupuesto propio: órgano sin dotación diferenciada (financiación por convenio, verificada en BOE)</t>
        </is>
      </c>
      <c r="P61" s="12" t="n"/>
      <c r="Q61" s="12" t="n"/>
      <c r="R61" s="10" t="inlineStr">
        <is>
          <t>No se ha verificado línea individual actual. Los 10,83 M EUR citados por Red.es son del Programa Derechos Digitales completo, no presupuesto del observatorio.</t>
        </is>
      </c>
      <c r="S61" s="10" t="inlineStr">
        <is>
          <t>31/08/2026 para IGAE; consulta 11/10/2026 para normas y actividad</t>
        </is>
      </c>
      <c r="T61" s="10" t="inlineStr">
        <is>
          <t>Creación acreditada; continuidad legal revisada, sin auditoría completa de actividad.</t>
        </is>
      </c>
      <c r="U61" s="10" t="inlineStr">
        <is>
          <t>Convenio oficial publicado consultado no permitió extraer íntegra su cláusula económica. No asignar todo el programa a este proyecto.</t>
        </is>
      </c>
      <c r="V61" s="10" t="inlineStr">
        <is>
          <t>No se ha identificado relación en esta revisión (no certifica ausencia)</t>
        </is>
      </c>
      <c r="W61" s="10" t="n"/>
      <c r="X61" s="10" t="inlineStr">
        <is>
          <t>Revisión cualitativa del mandato y estado de las 95 fichas; no auditoría exhaustiva de funciones ni proyectos.</t>
        </is>
      </c>
      <c r="Y61" s="10" t="n"/>
      <c r="Z61" s="30" t="inlineStr">
        <is>
          <t>https://boe.es/boe/dias/2024/07/10/pdfs/BOE-A-2024-14138.pdf
https://www.red.es/es/area-prensa/notas-prensa/el-observatorio-de-derechos-digitales-realiza-mas-de-20-acciones-para
https://www.boe.es/diario_boe/txt.php?id=BOE-A-2024-14138</t>
        </is>
      </c>
      <c r="AA61" s="12" t="n">
        <v>10.83</v>
      </c>
      <c r="AB61" s="10" t="inlineStr">
        <is>
          <t>No verificado en ficha</t>
        </is>
      </c>
      <c r="AC61" s="10" t="inlineStr">
        <is>
          <t>Programa completo, NO presupuesto del Observatorio</t>
        </is>
      </c>
      <c r="AD61" s="10" t="inlineStr">
        <is>
          <t>Programa Derechos Digitales (Red.es)</t>
        </is>
      </c>
      <c r="AE61" s="13" t="inlineStr">
        <is>
          <t>https://files.instinct.com/q91pr53q4umo-entidades-publicas-poder-y-presupuesto</t>
        </is>
      </c>
      <c r="AF61" s="10" t="inlineStr">
        <is>
          <t>12/10/2026</t>
        </is>
      </c>
      <c r="AG61" s="10" t="n"/>
      <c r="AH61" s="10" t="n"/>
      <c r="AI61" s="10" t="inlineStr">
        <is>
          <t>Personas realmente ocupadas; no equiparar vocales, puestos RPT o apoyo ministerial con plantilla</t>
        </is>
      </c>
      <c r="AJ61" s="10" t="inlineStr">
        <is>
          <t>Pendiente: sin cifra de personal ocupado verificada en el conjunto actual</t>
        </is>
      </c>
      <c r="AK61" s="10" t="n"/>
      <c r="AL61" s="12" t="n"/>
      <c r="AM61" s="10" t="n"/>
      <c r="AN61" s="10" t="n"/>
      <c r="AO61" s="10" t="inlineStr">
        <is>
          <t>Pendiente: sin coste de personal individual verificado en el conjunto actual</t>
        </is>
      </c>
      <c r="AP61" s="10" t="n"/>
      <c r="AQ61" s="12" t="n"/>
      <c r="AR61" s="10" t="n"/>
      <c r="AS61" s="10" t="n"/>
      <c r="AT61" s="10" t="n"/>
      <c r="AU61" s="10" t="n"/>
      <c r="AV61" s="10" t="inlineStr">
        <is>
          <t>Pendiente: no se ha verificado gasto salarial ejecutado individual en esta versión</t>
        </is>
      </c>
      <c r="AW61" s="10" t="inlineStr">
        <is>
          <t>SIN CIFRA INDIVIDUAL IDENTIFICADA de presupuesto, personal ocupado y salarios ejecutados en fuentes revisadas. No significa cero ni prueba de que nada esté publicado.</t>
        </is>
      </c>
      <c r="AX61" s="14" t="n"/>
      <c r="AY61" s="14" t="n"/>
      <c r="AZ61" s="14" t="n"/>
      <c r="BA61" s="14" t="n"/>
      <c r="BB61" s="14" t="inlineStr">
        <is>
          <t>Apoyo ministerial/departamental indicado en el lote y norma de la ficha; gasto individual no desglosado verificado. No repartir gasto total del ministerio. Convenio Red.es con grupo de entidades</t>
        </is>
      </c>
      <c r="BC61" s="10" t="inlineStr">
        <is>
          <t>Convenio para análisis y propuestas de medidas legislativas/no legislativas sobre derechos digitales</t>
        </is>
      </c>
      <c r="BD61" s="10" t="inlineStr">
        <is>
          <t>No informe preceptivo general sobre aprobación de leyes identificado en funciones revisadas</t>
        </is>
      </c>
      <c r="BE61" s="10" t="inlineStr">
        <is>
          <t>No consentimiento favorable o vinculación normativa establecido en funciones revisadas</t>
        </is>
      </c>
      <c r="BF61" s="10" t="inlineStr">
        <is>
          <t>No veto legislativo atribuido por las disposiciones revisadas. Proponer medidas o cambios legislativos no equivale a aprobarlos; no auditoría de todas las normas sectoriales posteriores.</t>
        </is>
      </c>
      <c r="BG61" s="10" t="inlineStr">
        <is>
          <t>Convenio Red.es-Grupo Entidades 2024, expositivo VI</t>
        </is>
      </c>
      <c r="BH61" s="10" t="inlineStr">
        <is>
          <t>https://boe.es/boe/dias/2024/07/10/pdfs/BOE-A-2024-14138.pdf</t>
        </is>
      </c>
      <c r="BI61" s="12" t="n"/>
      <c r="BJ61" s="12" t="n"/>
      <c r="BK61" s="12" t="n"/>
      <c r="BL61" s="12" t="n"/>
      <c r="BM61" s="10" t="n"/>
      <c r="BN61" s="10" t="n"/>
      <c r="BO61" s="12" t="n"/>
      <c r="BP61" s="12" t="n"/>
      <c r="BQ61" s="12" t="n"/>
      <c r="BR61" s="12" t="n"/>
      <c r="BS61" s="12" t="n"/>
      <c r="BT61" s="12" t="n"/>
      <c r="BU61" s="12" t="n"/>
      <c r="BV61" s="27" t="inlineStr">
        <is>
          <t>No útil</t>
        </is>
      </c>
      <c r="BW61" s="27" t="inlineStr">
        <is>
          <t>Suprimir</t>
        </is>
      </c>
      <c r="BX61" s="27" t="inlineStr">
        <is>
          <t>Consultivo o participación</t>
        </is>
      </c>
      <c r="BY61" s="12" t="n"/>
      <c r="BZ61" s="27" t="inlineStr">
        <is>
          <t>No</t>
        </is>
      </c>
      <c r="CA61" s="27" t="inlineStr">
        <is>
          <t>Acreditada</t>
        </is>
      </c>
      <c r="CB61" s="27" t="inlineStr">
        <is>
          <t>Observatorio, consejo o comisión: el P100 los cierra salvo que su ministerio demuestre que su trabajo cambia decisiones o mejora un servicio; publicar informes no cuenta.</t>
        </is>
      </c>
      <c r="CC61" s="27" t="inlineStr">
        <is>
          <t>Explícito en el P100: Costes del Estado 2</t>
        </is>
      </c>
      <c r="CD61" s="27" t="inlineStr">
        <is>
          <t>Estructura ordinaria del ministerio, si alguna función resultara imprescindible</t>
        </is>
      </c>
      <c r="CE61" s="27" t="inlineStr">
        <is>
          <t>Derechos digitales</t>
        </is>
      </c>
      <c r="CF61" s="12" t="n"/>
      <c r="CG61" s="27" t="inlineStr">
        <is>
          <t>Apoyo: Red.es (EPE del MTDFP) financia y supervisa; ejecuta el grupo de entidades coordinado por la Fundación Instituto Hermes, con medios propios (convenio BOE-A-2024-14138). gasto con nombre propio: Hasta 4.781.250 EUR: Red.es aporta hasta 3.825.000 EUR (80 %, PRTR) y las entidades al menos 956.250 EUR en especie; anualidad 2026 de 1.434.375 EUR (cláusula 4.ª, https://www.boe.es/diario_boe/txt.php?id=BOE-A-2024-14138).</t>
        </is>
      </c>
      <c r="CH61" s="29">
        <f>IF(AND(ISNUMBER(BP61),ISNUMBER(AG61),AG61&gt;0),BP61*1000000/AG61,"")</f>
        <v/>
      </c>
      <c r="CI61" s="12" t="n"/>
      <c r="CJ61" s="12" t="n"/>
      <c r="CK61" s="12" t="n"/>
      <c r="CL61" s="12" t="n"/>
      <c r="CM61" s="12" t="n"/>
      <c r="CN61" s="12" t="n"/>
      <c r="CO61" s="12" t="n"/>
      <c r="CP61" s="12" t="n"/>
      <c r="CQ61" s="12" t="n"/>
      <c r="CR61" s="12" t="n"/>
      <c r="CS61" s="12" t="n"/>
    </row>
    <row r="62">
      <c r="A62" s="10" t="n">
        <v>61</v>
      </c>
      <c r="B62" s="10" t="inlineStr">
        <is>
          <t>Estatal</t>
        </is>
      </c>
      <c r="C62" s="10" t="inlineStr">
        <is>
          <t>Estado</t>
        </is>
      </c>
      <c r="D62" s="10" t="inlineStr">
        <is>
          <t>Sánchez</t>
        </is>
      </c>
      <c r="E62" s="10" t="inlineStr">
        <is>
          <t>Consejo de Desarrollo Sostenible</t>
        </is>
      </c>
      <c r="F62" s="10" t="inlineStr">
        <is>
          <t>Órgano consultivo nuevo</t>
        </is>
      </c>
      <c r="G62" s="10" t="inlineStr">
        <is>
          <t>2019-02-22</t>
        </is>
      </c>
      <c r="H62" s="10" t="inlineStr">
        <is>
          <t>Orden PCI/169/2019; regulación Orden DSA/819/2020</t>
        </is>
      </c>
      <c r="I62" s="10" t="inlineStr">
        <is>
          <t>Participación social y seguimiento de la Agenda 2030, asesoramiento y propuestas.</t>
        </is>
      </c>
      <c r="J62" s="10" t="inlineStr">
        <is>
          <t>Juicio: Participación y asesoramiento sin poder de ejecutar políticas ni vincular al Gobierno. Reuniones/resultados 2026 no auditados.</t>
        </is>
      </c>
      <c r="K62" s="11" t="n"/>
      <c r="L62" s="10" t="n"/>
      <c r="M62" s="10" t="n"/>
      <c r="N62" s="10" t="n"/>
      <c r="O62" s="10" t="inlineStr">
        <is>
          <t>Sin cifra propia actual verificada</t>
        </is>
      </c>
      <c r="P62" s="12" t="n"/>
      <c r="Q62" s="12" t="n"/>
      <c r="R62" s="10" t="inlineStr">
        <is>
          <t>Sin línea presupuestaria individual identificada en los tomos oficiales de prórroga consultados. La norma dispone medios del departamento; coste individual no cuantificado. No significa 0 EUR.</t>
        </is>
      </c>
      <c r="S62" s="10" t="inlineStr">
        <is>
          <t>31/08/2026 para IGAE; consulta 11/10/2026 para normas y actividad</t>
        </is>
      </c>
      <c r="T62" s="10" t="inlineStr">
        <is>
          <t>Creación acreditada; continuidad legal revisada, sin auditoría completa de actividad.</t>
        </is>
      </c>
      <c r="U62" s="10" t="inlineStr">
        <is>
          <t>No atribuir todo el gasto Agenda 2030 al Consejo.</t>
        </is>
      </c>
      <c r="V62" s="10" t="inlineStr">
        <is>
          <t>No se ha identificado relación en esta revisión (no certifica ausencia)</t>
        </is>
      </c>
      <c r="W62" s="10" t="n"/>
      <c r="X62" s="10" t="inlineStr">
        <is>
          <t>Revisión cualitativa del mandato y estado de las 95 fichas; no auditoría exhaustiva de funciones ni proyectos.</t>
        </is>
      </c>
      <c r="Y62" s="10" t="n"/>
      <c r="Z62" s="30" t="inlineStr">
        <is>
          <t>https://boe.es/diario_boe/txt.php?id=BOE-A-2019-2554
https://www.boe.es/eli/es/o/2020/09/03/dsa819
https://www.boe.es/eli/es/o/2020/09/03/dsa819/con</t>
        </is>
      </c>
      <c r="AA62" s="12" t="n"/>
      <c r="AB62" s="10" t="n"/>
      <c r="AC62" s="10" t="n"/>
      <c r="AD62" s="10" t="n"/>
      <c r="AE62" s="13" t="inlineStr">
        <is>
          <t>https://files.instinct.com/q91pr53q4umo-entidades-publicas-poder-y-presupuesto</t>
        </is>
      </c>
      <c r="AF62" s="10" t="inlineStr">
        <is>
          <t>12/10/2026</t>
        </is>
      </c>
      <c r="AG62" s="10" t="n"/>
      <c r="AH62" s="10" t="n"/>
      <c r="AI62" s="10" t="inlineStr">
        <is>
          <t>Personas realmente ocupadas; no equiparar vocales, puestos RPT o apoyo ministerial con plantilla</t>
        </is>
      </c>
      <c r="AJ62" s="10" t="inlineStr">
        <is>
          <t>Pendiente: sin cifra de personal ocupado verificada en el conjunto actual</t>
        </is>
      </c>
      <c r="AK62" s="10" t="n"/>
      <c r="AL62" s="12" t="n"/>
      <c r="AM62" s="10" t="n"/>
      <c r="AN62" s="10" t="n"/>
      <c r="AO62" s="10" t="inlineStr">
        <is>
          <t>Pendiente: sin coste de personal individual verificado en el conjunto actual</t>
        </is>
      </c>
      <c r="AP62" s="10" t="n"/>
      <c r="AQ62" s="12" t="n"/>
      <c r="AR62" s="10" t="n"/>
      <c r="AS62" s="10" t="n"/>
      <c r="AT62" s="10" t="n"/>
      <c r="AU62" s="10" t="n"/>
      <c r="AV62" s="10" t="inlineStr">
        <is>
          <t>Pendiente: no se ha verificado gasto salarial ejecutado individual en esta versión</t>
        </is>
      </c>
      <c r="AW62" s="10" t="inlineStr">
        <is>
          <t>SIN CIFRA INDIVIDUAL IDENTIFICADA de presupuesto, personal ocupado y salarios ejecutados en fuentes revisadas. No significa cero ni prueba de que nada esté publicado.</t>
        </is>
      </c>
      <c r="AX62" s="14" t="n"/>
      <c r="AY62" s="14" t="n"/>
      <c r="AZ62" s="14" t="n"/>
      <c r="BA62" s="14" t="n"/>
      <c r="BB62" s="14" t="inlineStr">
        <is>
          <t>Apoyo ministerial/departamental indicado en el lote y norma de la ficha; gasto individual no desglosado verificado. No repartir gasto total del ministerio. Medios del MITERD (Orden PCI/169/2019)</t>
        </is>
      </c>
      <c r="BC62" s="10" t="inlineStr">
        <is>
          <t>Asesoramiento sobre planes/estrategias Agenda 2030, análisis y diálogo</t>
        </is>
      </c>
      <c r="BD62" s="10" t="inlineStr">
        <is>
          <t>No informe preceptivo general sobre aprobación de leyes identificado en funciones revisadas</t>
        </is>
      </c>
      <c r="BE62" s="10" t="inlineStr">
        <is>
          <t>No consentimiento favorable o vinculación normativa establecido en funciones revisadas</t>
        </is>
      </c>
      <c r="BF62" s="10" t="inlineStr">
        <is>
          <t>No veto legislativo atribuido por las disposiciones revisadas. Proponer medidas o cambios legislativos no equivale a aprobarlos; no auditoría de todas las normas sectoriales posteriores.</t>
        </is>
      </c>
      <c r="BG62" s="10" t="inlineStr">
        <is>
          <t>Orden DSA/819/2020, apartado Segundo</t>
        </is>
      </c>
      <c r="BH62" s="10" t="inlineStr">
        <is>
          <t>https://www.boe.es/eli/es/o/2020/09/03/dsa 819</t>
        </is>
      </c>
      <c r="BI62" s="12" t="n"/>
      <c r="BJ62" s="12" t="n"/>
      <c r="BK62" s="12" t="n"/>
      <c r="BL62" s="12" t="n"/>
      <c r="BM62" s="10" t="n"/>
      <c r="BN62" s="10" t="n"/>
      <c r="BO62" s="12" t="n"/>
      <c r="BP62" s="12" t="n"/>
      <c r="BQ62" s="12" t="n"/>
      <c r="BR62" s="12" t="n"/>
      <c r="BS62" s="12" t="n"/>
      <c r="BT62" s="12" t="n"/>
      <c r="BU62" s="12" t="n"/>
      <c r="BV62" s="27" t="inlineStr">
        <is>
          <t>No útil</t>
        </is>
      </c>
      <c r="BW62" s="27" t="inlineStr">
        <is>
          <t>Suprimir</t>
        </is>
      </c>
      <c r="BX62" s="27" t="inlineStr">
        <is>
          <t>Consultivo o participación</t>
        </is>
      </c>
      <c r="BY62" s="12" t="n"/>
      <c r="BZ62" s="27" t="inlineStr">
        <is>
          <t>No</t>
        </is>
      </c>
      <c r="CA62" s="27" t="inlineStr">
        <is>
          <t>No acreditada</t>
        </is>
      </c>
      <c r="CB62" s="27" t="inlineStr">
        <is>
          <t>Observatorio, consejo o comisión: el P100 los cierra salvo que su ministerio demuestre que su trabajo cambia decisiones o mejora un servicio; publicar informes no cuenta.</t>
        </is>
      </c>
      <c r="CC62" s="27" t="inlineStr">
        <is>
          <t>Explícito en el P100: Costes del Estado 2</t>
        </is>
      </c>
      <c r="CD62" s="27" t="inlineStr">
        <is>
          <t>Estructura ordinaria del ministerio, si alguna función resultara imprescindible</t>
        </is>
      </c>
      <c r="CE62" s="27" t="inlineStr">
        <is>
          <t>Agenda 2030</t>
        </is>
      </c>
      <c r="CF62" s="12" t="n"/>
      <c r="CG62" s="27" t="inlineStr">
        <is>
          <t>Apoyo: DG de Políticas Palanca para el Cumplimiento de la Agenda 2030 (secretaría, apdo. Tercero.4); el Ministerio facilita los medios personales y materiales (apdo. Octavo.3), y además hay asistencia técnica contratada. vocales: 61. miembros: no retribuidos (apdo. Octavo.1 Orden DSA/819/2020: «no percibirán remuneración alguna por el ejercicio de sus funciones»). gasto con nombre propio: 153.620,64 EUR (valor estimado, sin IVA): licitación de 2024 del «Servicio de asesoramiento y asistencia técnica al Consejo de Desarrollo Sostenible y a sus grupos de trabajo técnicos», exp. 242907PA0001, DOUE S 180/2024 de 16/09/2024 (https://ted.europa.eu/es/notice/554472-2024/pdf).</t>
        </is>
      </c>
      <c r="CH62" s="29">
        <f>IF(AND(ISNUMBER(BP62),ISNUMBER(AG62),AG62&gt;0),BP62*1000000/AG62,"")</f>
        <v/>
      </c>
      <c r="CI62" s="12" t="n"/>
      <c r="CJ62" s="12" t="n"/>
      <c r="CK62" s="12" t="n"/>
      <c r="CL62" s="12" t="n"/>
      <c r="CM62" s="12" t="n"/>
      <c r="CN62" s="12" t="n"/>
      <c r="CO62" s="12" t="n"/>
      <c r="CP62" s="12" t="n"/>
      <c r="CQ62" s="12" t="n"/>
      <c r="CR62" s="12" t="n"/>
      <c r="CS62" s="12" t="n"/>
    </row>
    <row r="63">
      <c r="A63" s="10" t="n">
        <v>62</v>
      </c>
      <c r="B63" s="10" t="inlineStr">
        <is>
          <t>Estatal</t>
        </is>
      </c>
      <c r="C63" s="10" t="inlineStr">
        <is>
          <t>Estado</t>
        </is>
      </c>
      <c r="D63" s="10" t="inlineStr">
        <is>
          <t>Sánchez</t>
        </is>
      </c>
      <c r="E63" s="10" t="inlineStr">
        <is>
          <t>Consejo de Participación de las Personas LGTBI</t>
        </is>
      </c>
      <c r="F63" s="10" t="inlineStr">
        <is>
          <t>Órgano colegiado nuevo</t>
        </is>
      </c>
      <c r="G63" s="10" t="inlineStr">
        <is>
          <t>2020-06-24</t>
        </is>
      </c>
      <c r="H63" s="10" t="inlineStr">
        <is>
          <t>Orden IGD/577/2020</t>
        </is>
      </c>
      <c r="I63" s="10" t="inlineStr">
        <is>
          <t>Diálogo y participación en igualdad, no discriminación y políticas que afectan a personas LGTBI.</t>
        </is>
      </c>
      <c r="J63" s="10" t="inlineStr">
        <is>
          <t>Juicio: Consultivo y de participación. No es un regulador ni un órgano de sanción. Actividad actual no comprobada.</t>
        </is>
      </c>
      <c r="K63" s="11" t="n"/>
      <c r="L63" s="10" t="n"/>
      <c r="M63" s="10" t="n"/>
      <c r="N63" s="10" t="n"/>
      <c r="O63" s="10" t="inlineStr">
        <is>
          <t>Sin cifra propia actual verificada</t>
        </is>
      </c>
      <c r="P63" s="12" t="n"/>
      <c r="Q63" s="12" t="n"/>
      <c r="R63" s="10" t="inlineStr">
        <is>
          <t>Sin línea presupuestaria individual identificada en los tomos oficiales de prórroga consultados. La norma dispone medios del departamento; coste individual no cuantificado. No significa 0 EUR.</t>
        </is>
      </c>
      <c r="S63" s="10" t="inlineStr">
        <is>
          <t>31/08/2026 para IGAE; consulta 11/10/2026 para normas y actividad</t>
        </is>
      </c>
      <c r="T63" s="10" t="inlineStr">
        <is>
          <t>Creación acreditada; continuidad legal revisada, sin auditoría completa de actividad.</t>
        </is>
      </c>
      <c r="U63" s="10" t="inlineStr">
        <is>
          <t>Sin verificación de plantilla, gasto separado o cumplimiento de calendario.</t>
        </is>
      </c>
      <c r="V63" s="10" t="inlineStr">
        <is>
          <t>No se ha identificado relación en esta revisión (no certifica ausencia)</t>
        </is>
      </c>
      <c r="W63" s="10" t="n"/>
      <c r="X63" s="10" t="inlineStr">
        <is>
          <t>Revisión cualitativa del mandato y estado de las 95 fichas; no auditoría exhaustiva de funciones ni proyectos.</t>
        </is>
      </c>
      <c r="Y63" s="10" t="n"/>
      <c r="Z63" s="30" t="inlineStr">
        <is>
          <t>https://www.boe.es/buscar/doc.php?id=BOE-A-2020-6840
https://www.boe.es/eli/es/o/2020/06/24/igd577/con</t>
        </is>
      </c>
      <c r="AA63" s="12" t="n"/>
      <c r="AB63" s="10" t="n"/>
      <c r="AC63" s="10" t="n"/>
      <c r="AD63" s="10" t="n"/>
      <c r="AE63" s="13" t="inlineStr">
        <is>
          <t>https://files.instinct.com/q91pr53q4umo-entidades-publicas-poder-y-presupuesto</t>
        </is>
      </c>
      <c r="AF63" s="10" t="inlineStr">
        <is>
          <t>12/10/2026</t>
        </is>
      </c>
      <c r="AG63" s="10" t="n"/>
      <c r="AH63" s="10" t="n"/>
      <c r="AI63" s="10" t="inlineStr">
        <is>
          <t>Personas realmente ocupadas; no equiparar vocales, puestos RPT o apoyo ministerial con plantilla</t>
        </is>
      </c>
      <c r="AJ63" s="10" t="inlineStr">
        <is>
          <t>Pendiente: sin cifra de personal ocupado verificada en el conjunto actual</t>
        </is>
      </c>
      <c r="AK63" s="10" t="n"/>
      <c r="AL63" s="12" t="n"/>
      <c r="AM63" s="10" t="n"/>
      <c r="AN63" s="10" t="n"/>
      <c r="AO63" s="10" t="inlineStr">
        <is>
          <t>Pendiente: sin coste de personal individual verificado en el conjunto actual</t>
        </is>
      </c>
      <c r="AP63" s="10" t="n"/>
      <c r="AQ63" s="12" t="n"/>
      <c r="AR63" s="10" t="n"/>
      <c r="AS63" s="10" t="n"/>
      <c r="AT63" s="10" t="n"/>
      <c r="AU63" s="10" t="n"/>
      <c r="AV63" s="10" t="inlineStr">
        <is>
          <t>Pendiente: no se ha verificado gasto salarial ejecutado individual en esta versión</t>
        </is>
      </c>
      <c r="AW63" s="10" t="inlineStr">
        <is>
          <t>SIN CIFRA INDIVIDUAL IDENTIFICADA de presupuesto, personal ocupado y salarios ejecutados en fuentes revisadas. No significa cero ni prueba de que nada esté publicado.</t>
        </is>
      </c>
      <c r="AX63" s="14" t="n"/>
      <c r="AY63" s="14" t="n"/>
      <c r="AZ63" s="14" t="n"/>
      <c r="BA63" s="14" t="n"/>
      <c r="BB63" s="14" t="inlineStr">
        <is>
          <t>Apoyo ministerial/departamental indicado en el lote y norma de la ficha; gasto individual no desglosado verificado. No repartir gasto total del ministerio. Medios del Ministerio de Igualdad (Orden IGD/577/2020)</t>
        </is>
      </c>
      <c r="BC63" s="10" t="inlineStr">
        <is>
          <t>Participación y observaciones sobre proyectos, planes y programas LGTBI</t>
        </is>
      </c>
      <c r="BD63" s="10" t="inlineStr">
        <is>
          <t>No informe preceptivo general sobre aprobación de leyes identificado en las funciones revisadas</t>
        </is>
      </c>
      <c r="BE63" s="10" t="inlineStr">
        <is>
          <t>No consentimiento favorable o vinculación normativa establecido en funciones revisadas</t>
        </is>
      </c>
      <c r="BF63" s="10" t="inlineStr">
        <is>
          <t>No poder de veto legislativo atribuido en funciones revisadas. Proponer cambios, informar a Cortes o participar no equivale a aprobar leyes; no certifica ausencia de reglas sectoriales posteriores.</t>
        </is>
      </c>
      <c r="BG63" s="10" t="inlineStr">
        <is>
          <t>OrdenIGD/577/2020 apartado 2(c),(f)</t>
        </is>
      </c>
      <c r="BH63" s="10" t="inlineStr">
        <is>
          <t>https://www.boe.es/buscar/doc.php?id=BOE-A-2020-6840</t>
        </is>
      </c>
      <c r="BI63" s="12" t="n"/>
      <c r="BJ63" s="12" t="n"/>
      <c r="BK63" s="12" t="n"/>
      <c r="BL63" s="12" t="n"/>
      <c r="BM63" s="10" t="n"/>
      <c r="BN63" s="10" t="n"/>
      <c r="BO63" s="12" t="n"/>
      <c r="BP63" s="12" t="n"/>
      <c r="BQ63" s="12" t="n"/>
      <c r="BR63" s="12" t="n"/>
      <c r="BS63" s="12" t="n"/>
      <c r="BT63" s="12" t="n"/>
      <c r="BU63" s="12" t="n"/>
      <c r="BV63" s="27" t="inlineStr">
        <is>
          <t>No útil</t>
        </is>
      </c>
      <c r="BW63" s="27" t="inlineStr">
        <is>
          <t>Suprimir</t>
        </is>
      </c>
      <c r="BX63" s="27" t="inlineStr">
        <is>
          <t>Consultivo o participación</t>
        </is>
      </c>
      <c r="BY63" s="12" t="n"/>
      <c r="BZ63" s="27" t="inlineStr">
        <is>
          <t>No</t>
        </is>
      </c>
      <c r="CA63" s="27" t="inlineStr">
        <is>
          <t>No acreditada</t>
        </is>
      </c>
      <c r="CB63" s="27" t="inlineStr">
        <is>
          <t>Observatorio, consejo o comisión: el P100 los cierra salvo que su ministerio demuestre que su trabajo cambia decisiones o mejora un servicio; publicar informes no cuenta.</t>
        </is>
      </c>
      <c r="CC63" s="27" t="inlineStr">
        <is>
          <t>Explícito en el P100: Costes del Estado 2</t>
        </is>
      </c>
      <c r="CD63" s="27" t="inlineStr">
        <is>
          <t>Estructura ordinaria del ministerio, si alguna función resultara imprescindible</t>
        </is>
      </c>
      <c r="CE63" s="27" t="inlineStr">
        <is>
          <t>Participación: personas LGTBI</t>
        </is>
      </c>
      <c r="CF63" s="12" t="n"/>
      <c r="CG63" s="27" t="inlineStr">
        <is>
          <t>Apoyo: Secretaría: titular de la SG de Derechos LGTBI, con suplente funcionario A1 de esa SG (apdo. 3.2 y 5.5); dotaciones ordinarias del Ministerio de Igualdad, sin aumento de gastos de personal (DA única). vocales: 31.</t>
        </is>
      </c>
      <c r="CH63" s="29">
        <f>IF(AND(ISNUMBER(BP63),ISNUMBER(AG63),AG63&gt;0),BP63*1000000/AG63,"")</f>
        <v/>
      </c>
      <c r="CI63" s="12" t="n"/>
      <c r="CJ63" s="12" t="n"/>
      <c r="CK63" s="12" t="n"/>
      <c r="CL63" s="12" t="n"/>
      <c r="CM63" s="12" t="n"/>
      <c r="CN63" s="12" t="n"/>
      <c r="CO63" s="12" t="n"/>
      <c r="CP63" s="12" t="n"/>
      <c r="CQ63" s="12" t="n"/>
      <c r="CR63" s="12" t="n"/>
      <c r="CS63" s="12" t="n"/>
    </row>
    <row r="64">
      <c r="A64" s="10" t="n">
        <v>63</v>
      </c>
      <c r="B64" s="10" t="inlineStr">
        <is>
          <t>Estatal</t>
        </is>
      </c>
      <c r="C64" s="10" t="inlineStr">
        <is>
          <t>Estado</t>
        </is>
      </c>
      <c r="D64" s="10" t="inlineStr">
        <is>
          <t>Sánchez</t>
        </is>
      </c>
      <c r="E64" s="10" t="inlineStr">
        <is>
          <t>Consejo Estatal de Participación de la Infancia y de la Adolescencia (CEPIA)</t>
        </is>
      </c>
      <c r="F64" s="10" t="inlineStr">
        <is>
          <t>Órgano nuevo; norma sustituida 2026 sin extinción de la función</t>
        </is>
      </c>
      <c r="G64" s="10" t="inlineStr">
        <is>
          <t>2021-09-22</t>
        </is>
      </c>
      <c r="H64" s="10" t="inlineStr">
        <is>
          <t>Orden DSA/1009/2021; regulación Orden JUI/80/2026</t>
        </is>
      </c>
      <c r="I64" s="10" t="inlineStr">
        <is>
          <t>Participación de niños y adolescentes en políticas que les afectan.</t>
        </is>
      </c>
      <c r="J64" s="10" t="inlineStr">
        <is>
          <t>Juicio: Órgano participativo sin facultad de imponer decisiones al Gobierno. Su valor es representación, no mando.</t>
        </is>
      </c>
      <c r="K64" s="11" t="n"/>
      <c r="L64" s="10" t="n"/>
      <c r="M64" s="10" t="n"/>
      <c r="N64" s="10" t="n"/>
      <c r="O64" s="10" t="inlineStr">
        <is>
          <t>Sin cifra propia actual verificada</t>
        </is>
      </c>
      <c r="P64" s="12" t="n"/>
      <c r="Q64" s="12" t="n"/>
      <c r="R64" s="10" t="inlineStr">
        <is>
          <t>Sin línea presupuestaria individual identificada en los tomos oficiales de prórroga consultados. La norma dispone medios del departamento; coste individual no cuantificado. No significa 0 EUR.</t>
        </is>
      </c>
      <c r="S64" s="10" t="inlineStr">
        <is>
          <t>31/08/2026 para IGAE; consulta 11/10/2026 para normas y actividad</t>
        </is>
      </c>
      <c r="T64" s="10" t="inlineStr">
        <is>
          <t>Creación acreditada; continuidad legal revisada, sin auditoría completa de actividad.</t>
        </is>
      </c>
      <c r="U64" s="10" t="inlineStr">
        <is>
          <t>Derogación de orden 2021 no significa desaparición: se aprueba regulación nueva en enero 2026.</t>
        </is>
      </c>
      <c r="V64" s="10" t="inlineStr">
        <is>
          <t>No se ha identificado relación en esta revisión (no certifica ausencia)</t>
        </is>
      </c>
      <c r="W64" s="10" t="n"/>
      <c r="X64" s="10" t="inlineStr">
        <is>
          <t>Revisión cualitativa del mandato y estado de las 95 fichas; no auditoría exhaustiva de funciones ni proyectos.</t>
        </is>
      </c>
      <c r="Y64" s="10" t="n"/>
      <c r="Z64" s="10" t="inlineStr">
        <is>
          <t>https://www.boe.es/buscar/doc.php?id=BOE-A-2021-15582
https://www.boe.es/eli/es/o/2026/01/29/jui80</t>
        </is>
      </c>
      <c r="AA64" s="12" t="n"/>
      <c r="AB64" s="10" t="n"/>
      <c r="AC64" s="10" t="n"/>
      <c r="AD64" s="10" t="n"/>
      <c r="AE64" s="13" t="inlineStr">
        <is>
          <t>https://files.instinct.com/q91pr53q4umo-entidades-publicas-poder-y-presupuesto</t>
        </is>
      </c>
      <c r="AF64" s="10" t="inlineStr">
        <is>
          <t>12/10/2026</t>
        </is>
      </c>
      <c r="AG64" s="10" t="n"/>
      <c r="AH64" s="10" t="n"/>
      <c r="AI64" s="10" t="inlineStr">
        <is>
          <t>Personas realmente ocupadas; no equiparar vocales, puestos RPT o apoyo ministerial con plantilla</t>
        </is>
      </c>
      <c r="AJ64" s="10" t="inlineStr">
        <is>
          <t>Pendiente: sin cifra de personal ocupado verificada en el conjunto actual</t>
        </is>
      </c>
      <c r="AK64" s="10" t="n"/>
      <c r="AL64" s="12" t="n"/>
      <c r="AM64" s="10" t="n"/>
      <c r="AN64" s="10" t="n"/>
      <c r="AO64" s="10" t="inlineStr">
        <is>
          <t>Pendiente: sin coste de personal individual verificado en el conjunto actual</t>
        </is>
      </c>
      <c r="AP64" s="10" t="n"/>
      <c r="AQ64" s="12" t="n"/>
      <c r="AR64" s="10" t="n"/>
      <c r="AS64" s="10" t="n"/>
      <c r="AT64" s="10" t="n"/>
      <c r="AU64" s="10" t="n"/>
      <c r="AV64" s="10" t="inlineStr">
        <is>
          <t>Pendiente: no se ha verificado gasto salarial ejecutado individual en esta versión</t>
        </is>
      </c>
      <c r="AW64" s="10" t="inlineStr">
        <is>
          <t>SIN CIFRA INDIVIDUAL IDENTIFICADA de presupuesto, personal ocupado y salarios ejecutados en fuentes revisadas. No significa cero ni prueba de que nada esté publicado.</t>
        </is>
      </c>
      <c r="AX64" s="14" t="n"/>
      <c r="AY64" s="14" t="n"/>
      <c r="AZ64" s="14" t="n"/>
      <c r="BA64" s="14" t="n"/>
      <c r="BB64" s="14" t="inlineStr">
        <is>
          <t>Apoyo ministerial/departamental indicado en el lote y norma de la ficha; gasto individual no desglosado verificado. No repartir gasto total del ministerio. Medios del M. Juventud e Infancia (Orden DSA/1009/2021)</t>
        </is>
      </c>
      <c r="BC64" s="10" t="inlineStr">
        <is>
          <t>Consultas facultativas sobre proyectos normativos</t>
        </is>
      </c>
      <c r="BD64" s="10" t="inlineStr">
        <is>
          <t>NO: consultas de carácter facultativo sobre proyectos normativos, planes, estrategias y programas</t>
        </is>
      </c>
      <c r="BE64" s="10" t="inlineStr">
        <is>
          <t>No consentimiento o informe favorable normativo exigido en el apartado Segundo.d)</t>
        </is>
      </c>
      <c r="BF64" s="10" t="inlineStr">
        <is>
          <t>Sin veto normativo atribuido en la función revisada. No confundir el dictamen vinculante sobre cese de miembros con una facultad sobre leyes.</t>
        </is>
      </c>
      <c r="BG64" s="10" t="inlineStr">
        <is>
          <t>Orden DSA/1009/2021, apartado Segundo.d); distinguir apartado Séptimo.2, cese de miembros</t>
        </is>
      </c>
      <c r="BH64" s="10" t="inlineStr">
        <is>
          <t>https://www.boe.es/buscar/doc.php?id=BOE-A-2021-15582</t>
        </is>
      </c>
      <c r="BI64" s="12" t="n"/>
      <c r="BJ64" s="12" t="n"/>
      <c r="BK64" s="12" t="n"/>
      <c r="BL64" s="12" t="n"/>
      <c r="BM64" s="10" t="n"/>
      <c r="BN64" s="10" t="n"/>
      <c r="BO64" s="12" t="n"/>
      <c r="BP64" s="12" t="n"/>
      <c r="BQ64" s="12" t="n"/>
      <c r="BR64" s="12" t="n"/>
      <c r="BS64" s="12" t="n"/>
      <c r="BT64" s="12" t="n"/>
      <c r="BU64" s="12" t="n"/>
      <c r="BV64" s="27" t="inlineStr">
        <is>
          <t>No útil</t>
        </is>
      </c>
      <c r="BW64" s="27" t="inlineStr">
        <is>
          <t>Suprimir</t>
        </is>
      </c>
      <c r="BX64" s="27" t="inlineStr">
        <is>
          <t>Consultivo o participación</t>
        </is>
      </c>
      <c r="BY64" s="12" t="n"/>
      <c r="BZ64" s="27" t="inlineStr">
        <is>
          <t>No</t>
        </is>
      </c>
      <c r="CA64" s="27" t="inlineStr">
        <is>
          <t>No acreditada</t>
        </is>
      </c>
      <c r="CB64" s="27" t="inlineStr">
        <is>
          <t>Observatorio, consejo o comisión: el P100 los cierra salvo que su ministerio demuestre que su trabajo cambia decisiones o mejora un servicio; publicar informes no cuenta.</t>
        </is>
      </c>
      <c r="CC64" s="27" t="inlineStr">
        <is>
          <t>Explícito en el P100: Costes del Estado 2</t>
        </is>
      </c>
      <c r="CD64" s="27" t="inlineStr">
        <is>
          <t>Estructura ordinaria del ministerio, si alguna función resultara imprescindible</t>
        </is>
      </c>
      <c r="CE64" s="27" t="inlineStr">
        <is>
          <t>Participación: infancia</t>
        </is>
      </c>
      <c r="CF64" s="12" t="n"/>
      <c r="CG64" s="27" t="inlineStr">
        <is>
          <t>Apoyo: Dirección General competente en participación infantil y apoyo al CEPIA (Ministerio de Juventud e Infancia): secretaría a cargo de una persona funcionaria designada por la DG, que puede actuar «a través de la asistencia técnica de profesionales especializados» (apdo. Duodécimo.1.d); la DG atiende los gastos con cargo a su presupuesto (apdo. Decimosexto.3). vocales: 34.</t>
        </is>
      </c>
      <c r="CH64" s="29">
        <f>IF(AND(ISNUMBER(BP64),ISNUMBER(AG64),AG64&gt;0),BP64*1000000/AG64,"")</f>
        <v/>
      </c>
      <c r="CI64" s="12" t="n"/>
      <c r="CJ64" s="12" t="n"/>
      <c r="CK64" s="12" t="n"/>
      <c r="CL64" s="12" t="n"/>
      <c r="CM64" s="12" t="n"/>
      <c r="CN64" s="12" t="n"/>
      <c r="CO64" s="12" t="n"/>
      <c r="CP64" s="12" t="n"/>
      <c r="CQ64" s="12" t="n"/>
      <c r="CR64" s="12" t="n"/>
      <c r="CS64" s="12" t="n"/>
    </row>
    <row r="65">
      <c r="A65" s="10" t="n">
        <v>64</v>
      </c>
      <c r="B65" s="10" t="inlineStr">
        <is>
          <t>Estatal</t>
        </is>
      </c>
      <c r="C65" s="10" t="inlineStr">
        <is>
          <t>Estado</t>
        </is>
      </c>
      <c r="D65" s="10" t="inlineStr">
        <is>
          <t>Sánchez</t>
        </is>
      </c>
      <c r="E65" s="10" t="inlineStr">
        <is>
          <t>Consejo Nacional de Seguridad Aeroespacial</t>
        </is>
      </c>
      <c r="F65" s="10" t="inlineStr">
        <is>
          <t>Órgano de apoyo nuevo</t>
        </is>
      </c>
      <c r="G65" s="10" t="inlineStr">
        <is>
          <t>2020-03-04</t>
        </is>
      </c>
      <c r="H65" s="10" t="inlineStr">
        <is>
          <t>Acuerdo CSN 04/03/2020, Orden PCM/218/2020</t>
        </is>
      </c>
      <c r="I65" s="10" t="inlineStr">
        <is>
          <t>Apoyar al Consejo de Seguridad Nacional en riesgos y política de seguridad aeroespacial.</t>
        </is>
      </c>
      <c r="J65" s="10" t="inlineStr">
        <is>
          <t>Juicio: Coordinación institucional de seguridad, no mando militar autónomo ni presupuesto de defensa separado.</t>
        </is>
      </c>
      <c r="K65" s="11" t="n"/>
      <c r="L65" s="10" t="n"/>
      <c r="M65" s="10" t="n"/>
      <c r="N65" s="10" t="n"/>
      <c r="O65" s="10" t="inlineStr">
        <is>
          <t>Sin cifra propia actual verificada</t>
        </is>
      </c>
      <c r="P65" s="12" t="n"/>
      <c r="Q65" s="12" t="n"/>
      <c r="R65" s="10" t="inlineStr">
        <is>
          <t>Sin línea presupuestaria individual identificada en los tomos oficiales de prórroga consultados. La norma dispone medios del departamento; coste individual no cuantificado. No significa 0 EUR.</t>
        </is>
      </c>
      <c r="S65" s="10" t="inlineStr">
        <is>
          <t>31/08/2026 para IGAE; consulta 11/10/2026 para normas y actividad</t>
        </is>
      </c>
      <c r="T65" s="10" t="inlineStr">
        <is>
          <t>Creación acreditada; continuidad legal revisada, sin auditoría completa de actividad.</t>
        </is>
      </c>
      <c r="U65" s="10" t="inlineStr">
        <is>
          <t>No se ha verificado calendario completo, plantilla ni decisiones implementadas.</t>
        </is>
      </c>
      <c r="V65" s="10" t="inlineStr">
        <is>
          <t>Ámbito compartido; funciones distintas</t>
        </is>
      </c>
      <c r="W65" s="10" t="inlineStr">
        <is>
          <t>40</t>
        </is>
      </c>
      <c r="X65" s="10" t="inlineStr">
        <is>
          <t>Política espacial ejecutiva frente a apoyo al Consejo de Seguridad Nacional en riesgos aeroespaciales.</t>
        </is>
      </c>
      <c r="Y65" s="10" t="inlineStr">
        <is>
          <t>https://www.boe.es/eli/es/rd/2023/03/07/158
https://www.igae.pap.hacienda.gob.es/sitios/igae/es-ES/Contabilidad/ContabilidadPublica/CPE/EjecucionPresupuestaria/Documents/ORGANISMOS%2008.%202026.pdf
https://www.aee.gob.es/Noticias/2026/marzo/inversion-625-millones-euros.html
https://boe.es/buscar/doc.php?id=BOE-A-2020-3638</t>
        </is>
      </c>
      <c r="Z65" s="30" t="inlineStr">
        <is>
          <t>https://boe.es/buscar/doc.php?id=BOE-A-2020-3638
https://www.boe.es/eli/es/o/2020/03/13/pcm218/con</t>
        </is>
      </c>
      <c r="AA65" s="12" t="n"/>
      <c r="AB65" s="10" t="n"/>
      <c r="AC65" s="10" t="n"/>
      <c r="AD65" s="10" t="n"/>
      <c r="AE65" s="13" t="inlineStr">
        <is>
          <t>https://files.instinct.com/q91pr53q4umo-entidades-publicas-poder-y-presupuesto</t>
        </is>
      </c>
      <c r="AF65" s="10" t="inlineStr">
        <is>
          <t>12/10/2026</t>
        </is>
      </c>
      <c r="AG65" s="10" t="n"/>
      <c r="AH65" s="10" t="n"/>
      <c r="AI65" s="10" t="inlineStr">
        <is>
          <t>Personas realmente ocupadas; no equiparar vocales, puestos RPT o apoyo ministerial con plantilla</t>
        </is>
      </c>
      <c r="AJ65" s="10" t="inlineStr">
        <is>
          <t>Pendiente: sin cifra de personal ocupado verificada en el conjunto actual</t>
        </is>
      </c>
      <c r="AK65" s="10" t="n"/>
      <c r="AL65" s="12" t="n"/>
      <c r="AM65" s="10" t="n"/>
      <c r="AN65" s="10" t="n"/>
      <c r="AO65" s="10" t="inlineStr">
        <is>
          <t>Pendiente: sin coste de personal individual verificado en el conjunto actual</t>
        </is>
      </c>
      <c r="AP65" s="10" t="n"/>
      <c r="AQ65" s="12" t="n"/>
      <c r="AR65" s="10" t="n"/>
      <c r="AS65" s="10" t="n"/>
      <c r="AT65" s="10" t="n"/>
      <c r="AU65" s="10" t="n"/>
      <c r="AV65" s="10" t="inlineStr">
        <is>
          <t>Pendiente: no se ha verificado gasto salarial ejecutado individual en esta versión</t>
        </is>
      </c>
      <c r="AW65" s="10" t="inlineStr">
        <is>
          <t>SIN CIFRA INDIVIDUAL IDENTIFICADA de presupuesto, personal ocupado y salarios ejecutados en fuentes revisadas. No significa cero ni prueba de que nada esté publicado.</t>
        </is>
      </c>
      <c r="AX65" s="14" t="n"/>
      <c r="AY65" s="14" t="n"/>
      <c r="AZ65" s="14" t="n"/>
      <c r="BA65" s="14" t="n"/>
      <c r="BB65" s="14" t="inlineStr">
        <is>
          <t>Apoyo ministerial/departamental indicado en el lote y norma de la ficha; gasto individual no desglosado verificado. No repartir gasto total del ministerio. Medios de Presidencia/Transportes/Defensa (órgano interministerial)</t>
        </is>
      </c>
      <c r="BC65" s="10" t="inlineStr">
        <is>
          <t>Contribución a propuestas normativas de seguridad aeroespacial y apoyo al Consejo de Seguridad Nacional</t>
        </is>
      </c>
      <c r="BD65" s="10" t="inlineStr">
        <is>
          <t>No informe preceptivo general sobre aprobación de leyes identificado en las funciones revisadas</t>
        </is>
      </c>
      <c r="BE65" s="10" t="inlineStr">
        <is>
          <t>No consentimiento favorable o vinculación normativa establecido en funciones revisadas</t>
        </is>
      </c>
      <c r="BF65" s="10" t="inlineStr">
        <is>
          <t>No poder de veto legislativo atribuido en funciones revisadas. Proponer cambios, informar a Cortes o participar no equivale a aprobar leyes; no certifica ausencia de reglas sectoriales posteriores.</t>
        </is>
      </c>
      <c r="BG65" s="10" t="inlineStr">
        <is>
          <t>OrdenPCM/218/2020 acuerdoCuarto.5</t>
        </is>
      </c>
      <c r="BH65" s="10" t="inlineStr">
        <is>
          <t>https://www.boe.es/buscar/doc.php?id=BOE-A-2020-3638</t>
        </is>
      </c>
      <c r="BI65" s="12" t="n"/>
      <c r="BJ65" s="12" t="n"/>
      <c r="BK65" s="12" t="n"/>
      <c r="BL65" s="12" t="n"/>
      <c r="BM65" s="10" t="n"/>
      <c r="BN65" s="10" t="n"/>
      <c r="BO65" s="12" t="n"/>
      <c r="BP65" s="12" t="n"/>
      <c r="BQ65" s="12" t="n"/>
      <c r="BR65" s="12" t="n"/>
      <c r="BS65" s="12" t="n"/>
      <c r="BT65" s="12" t="n"/>
      <c r="BU65" s="12" t="n"/>
      <c r="BV65" s="27" t="inlineStr">
        <is>
          <t>No útil</t>
        </is>
      </c>
      <c r="BW65" s="27" t="inlineStr">
        <is>
          <t>Suprimir</t>
        </is>
      </c>
      <c r="BX65" s="27" t="inlineStr">
        <is>
          <t>Consultivo o participación</t>
        </is>
      </c>
      <c r="BY65" s="12" t="n"/>
      <c r="BZ65" s="27" t="inlineStr">
        <is>
          <t>No</t>
        </is>
      </c>
      <c r="CA65" s="27" t="inlineStr">
        <is>
          <t>No acreditada</t>
        </is>
      </c>
      <c r="CB65" s="27" t="inlineStr">
        <is>
          <t>Observatorio, consejo o comisión: el P100 los cierra salvo que su ministerio demuestre que su trabajo cambia decisiones o mejora un servicio; publicar informes no cuenta.</t>
        </is>
      </c>
      <c r="CC65" s="27" t="inlineStr">
        <is>
          <t>Explícito en el P100: Costes del Estado 2</t>
        </is>
      </c>
      <c r="CD65" s="27" t="inlineStr">
        <is>
          <t>Estructura ordinaria del ministerio, si alguna función resultara imprescindible</t>
        </is>
      </c>
      <c r="CE65" s="27" t="inlineStr">
        <is>
          <t>Seguridad aeroespacial</t>
        </is>
      </c>
      <c r="CF65" s="12" t="n"/>
      <c r="CG65" s="27" t="inlineStr">
        <is>
          <t>Apoyo: Departamento de Seguridad Nacional: Secretaría Técnica y órgano de trabajo permanente, con secretario designado entre su personal (apdo. Quinto.d Orden PCM/218/2020); la presidencia (JEMAD) puede recabar apoyos de su estructura.</t>
        </is>
      </c>
      <c r="CH65" s="29">
        <f>IF(AND(ISNUMBER(BP65),ISNUMBER(AG65),AG65&gt;0),BP65*1000000/AG65,"")</f>
        <v/>
      </c>
      <c r="CI65" s="12" t="n"/>
      <c r="CJ65" s="12" t="n"/>
      <c r="CK65" s="12" t="n"/>
      <c r="CL65" s="12" t="n"/>
      <c r="CM65" s="12" t="n"/>
      <c r="CN65" s="12" t="n"/>
      <c r="CO65" s="12" t="n"/>
      <c r="CP65" s="12" t="n"/>
      <c r="CQ65" s="12" t="n"/>
      <c r="CR65" s="12" t="n"/>
      <c r="CS65" s="12" t="n"/>
    </row>
    <row r="66">
      <c r="A66" s="10" t="n">
        <v>65</v>
      </c>
      <c r="B66" s="10" t="inlineStr">
        <is>
          <t>Estatal</t>
        </is>
      </c>
      <c r="C66" s="10" t="inlineStr">
        <is>
          <t>Estado</t>
        </is>
      </c>
      <c r="D66" s="10" t="inlineStr">
        <is>
          <t>Sánchez</t>
        </is>
      </c>
      <c r="E66" s="10" t="inlineStr">
        <is>
          <t>Centro Nacional de Fotografía</t>
        </is>
      </c>
      <c r="F66" s="10" t="inlineStr">
        <is>
          <t>Centro cultural estatal nuevo</t>
        </is>
      </c>
      <c r="G66" s="10" t="inlineStr">
        <is>
          <t>2023-07-18</t>
        </is>
      </c>
      <c r="H66" s="10" t="inlineStr">
        <is>
          <t>RD 670/2023</t>
        </is>
      </c>
      <c r="I66" s="10" t="inlineStr">
        <is>
          <t>Conservar, estudiar y difundir patrimonio fotográfico; colección, archivo y exposiciones.</t>
        </is>
      </c>
      <c r="J66" s="10" t="inlineStr">
        <is>
          <t>Juicio: Función cultural real comprobada: exposición de colección octubre 2026 con 102 obras de 38 autores. No regulador; no debe evaluarse por capacidad sancionadora.</t>
        </is>
      </c>
      <c r="K66" s="11" t="n"/>
      <c r="L66" s="10" t="n"/>
      <c r="M66" s="10" t="n"/>
      <c r="N66" s="10" t="n"/>
      <c r="O66" s="10" t="inlineStr">
        <is>
          <t>Sin cifra propia actual verificada</t>
        </is>
      </c>
      <c r="P66" s="12" t="n"/>
      <c r="Q66" s="12" t="n"/>
      <c r="R66" s="10" t="inlineStr">
        <is>
          <t>No se ha identificado cifra individual corriente completa. La norma prevé anteproyecto a través de la Subdirección de Museos Estatales; gasto no separado en esta revisión.</t>
        </is>
      </c>
      <c r="S66" s="10" t="inlineStr">
        <is>
          <t>31/08/2026 para IGAE; consulta 11/10/2026 para normas y actividad</t>
        </is>
      </c>
      <c r="T66" s="10" t="inlineStr">
        <is>
          <t>Creación acreditada; continuidad legal revisada, sin auditoría completa de actividad.</t>
        </is>
      </c>
      <c r="U66" s="10" t="inlineStr">
        <is>
          <t>Actividad acreditada no acredita sede plenamente finalizada ni todo el gasto del centro.</t>
        </is>
      </c>
      <c r="V66" s="10" t="inlineStr">
        <is>
          <t>No se ha identificado relación en esta revisión (no certifica ausencia)</t>
        </is>
      </c>
      <c r="W66" s="10" t="n"/>
      <c r="X66" s="10" t="inlineStr">
        <is>
          <t>Revisión cualitativa del mandato y estado de las 95 fichas; no auditoría exhaustiva de funciones ni proyectos.</t>
        </is>
      </c>
      <c r="Y66" s="10" t="n"/>
      <c r="Z66" s="10" t="inlineStr">
        <is>
          <t>https://www.boe.es/diario_boe/txt.php?id=BOE-A-2023-16819
https://www.cultura.gob.es/actualidad/2026/10/261002-constelaciones-cnf.html</t>
        </is>
      </c>
      <c r="AA66" s="12" t="n"/>
      <c r="AB66" s="10" t="n"/>
      <c r="AC66" s="10" t="n"/>
      <c r="AD66" s="10" t="n"/>
      <c r="AE66" s="13" t="inlineStr">
        <is>
          <t>https://files.instinct.com/q91pr53q4umo-entidades-publicas-poder-y-presupuesto</t>
        </is>
      </c>
      <c r="AF66" s="10" t="inlineStr">
        <is>
          <t>12/10/2026</t>
        </is>
      </c>
      <c r="AG66" s="10" t="n"/>
      <c r="AH66" s="10" t="n"/>
      <c r="AI66" s="10" t="inlineStr">
        <is>
          <t>Personas realmente ocupadas; no equiparar vocales, puestos RPT o apoyo ministerial con plantilla</t>
        </is>
      </c>
      <c r="AJ66" s="10" t="inlineStr">
        <is>
          <t>Pendiente: sin cifra de personal ocupado verificada en el conjunto actual</t>
        </is>
      </c>
      <c r="AK66" s="10" t="n"/>
      <c r="AL66" s="12" t="n"/>
      <c r="AM66" s="10" t="n"/>
      <c r="AN66" s="10" t="n"/>
      <c r="AO66" s="10" t="inlineStr">
        <is>
          <t>Pendiente: sin coste de personal individual verificado en el conjunto actual</t>
        </is>
      </c>
      <c r="AP66" s="10" t="n"/>
      <c r="AQ66" s="12" t="n"/>
      <c r="AR66" s="10" t="n"/>
      <c r="AS66" s="10" t="n"/>
      <c r="AT66" s="10" t="n"/>
      <c r="AU66" s="10" t="n"/>
      <c r="AV66" s="10" t="inlineStr">
        <is>
          <t>Pendiente: no se ha verificado gasto salarial ejecutado individual en esta versión</t>
        </is>
      </c>
      <c r="AW66" s="10" t="inlineStr">
        <is>
          <t>SIN CIFRA INDIVIDUAL IDENTIFICADA de presupuesto, personal ocupado y salarios ejecutados en fuentes revisadas. No significa cero ni prueba de que nada esté publicado.</t>
        </is>
      </c>
      <c r="AX66" s="14" t="n"/>
      <c r="AY66" s="14" t="n"/>
      <c r="AZ66" s="14" t="n"/>
      <c r="BA66" s="14" t="n"/>
      <c r="BB66" s="14" t="inlineStr">
        <is>
          <t>Apoyo ministerial/departamental indicado en el lote y norma de la ficha; gasto individual no desglosado verificado. No repartir gasto total del ministerio. Anteproyecto vía Subdirección de Museos Estatales (Cultura)</t>
        </is>
      </c>
      <c r="BC66" s="10" t="inlineStr">
        <is>
          <t>Revisado: CentroFotografía, informe sobre salida de fondos</t>
        </is>
      </c>
      <c r="BD66" s="10" t="inlineStr">
        <is>
          <t>Preceptivo sobre salida de fondos del Centro, NO informe general de leyes.</t>
        </is>
      </c>
      <c r="BE66" s="10" t="inlineStr">
        <is>
          <t>No se exige consentimiento favorable ni carácter vinculante del informe en la cláusula citada; no es veto.</t>
        </is>
      </c>
      <c r="BF66" s="10" t="inlineStr">
        <is>
          <t>Fondos significa patrimonio fotográfico en este contexto, no créditos presupuestarios ni permiso para ley.</t>
        </is>
      </c>
      <c r="BG66" s="10" t="inlineStr">
        <is>
          <t>RD670/2023 art8e</t>
        </is>
      </c>
      <c r="BH66" s="10" t="inlineStr">
        <is>
          <t>https://www.boe.es/diario_boe/txt.php?id=BOE-A-2023-16819</t>
        </is>
      </c>
      <c r="BI66" s="12" t="n"/>
      <c r="BJ66" s="12" t="n"/>
      <c r="BK66" s="12" t="n"/>
      <c r="BL66" s="12" t="n"/>
      <c r="BM66" s="10" t="n"/>
      <c r="BN66" s="10" t="n"/>
      <c r="BO66" s="12" t="n"/>
      <c r="BP66" s="12" t="n"/>
      <c r="BQ66" s="12" t="n"/>
      <c r="BR66" s="12" t="n"/>
      <c r="BS66" s="12" t="n"/>
      <c r="BT66" s="12" t="n"/>
      <c r="BU66" s="12" t="n"/>
      <c r="BV66" s="27" t="inlineStr">
        <is>
          <t>Sin decisión en el P100</t>
        </is>
      </c>
      <c r="BW66" s="27" t="inlineStr">
        <is>
          <t>Pendiente de decisión</t>
        </is>
      </c>
      <c r="BX66" s="27" t="inlineStr">
        <is>
          <t>Servicio público directo</t>
        </is>
      </c>
      <c r="BY66" s="12" t="n"/>
      <c r="BZ66" s="27" t="inlineStr">
        <is>
          <t>No</t>
        </is>
      </c>
      <c r="CA66" s="27" t="inlineStr">
        <is>
          <t>Acreditada</t>
        </is>
      </c>
      <c r="CB66" s="27" t="inlineStr">
        <is>
          <t>Museo estatal sin presupuesto propio, creado en 2023.</t>
        </is>
      </c>
      <c r="CC66" s="27" t="inlineStr">
        <is>
          <t>El P100 no trata cultura</t>
        </is>
      </c>
      <c r="CD66" s="12" t="n"/>
      <c r="CE66" s="27" t="inlineStr">
        <is>
          <t>Patrimonio fotográfico</t>
        </is>
      </c>
      <c r="CF66" s="12" t="n"/>
      <c r="CG66" s="12" t="n"/>
      <c r="CH66" s="29">
        <f>IF(AND(ISNUMBER(BP66),ISNUMBER(AG66),AG66&gt;0),BP66*1000000/AG66,"")</f>
        <v/>
      </c>
      <c r="CI66" s="12" t="n"/>
      <c r="CJ66" s="12" t="n"/>
      <c r="CK66" s="12" t="n"/>
      <c r="CL66" s="12" t="n"/>
      <c r="CM66" s="12" t="n"/>
      <c r="CN66" s="12" t="n"/>
      <c r="CO66" s="12" t="n"/>
      <c r="CP66" s="12" t="n"/>
      <c r="CQ66" s="12" t="n"/>
      <c r="CR66" s="12" t="n"/>
      <c r="CS66" s="12" t="n"/>
    </row>
    <row r="67">
      <c r="A67" s="10" t="n">
        <v>66</v>
      </c>
      <c r="B67" s="10" t="inlineStr">
        <is>
          <t>Estatal</t>
        </is>
      </c>
      <c r="C67" s="10" t="inlineStr">
        <is>
          <t>Estado</t>
        </is>
      </c>
      <c r="D67" s="10" t="inlineStr">
        <is>
          <t>Sánchez</t>
        </is>
      </c>
      <c r="E67" s="10" t="inlineStr">
        <is>
          <t>Sociedad Española para la Transformación Tecnológica (SETT), antes SEMYS</t>
        </is>
      </c>
      <c r="F67" s="10" t="inlineStr">
        <is>
          <t>SEMYS creada 2023; transformación en EPE SETT 2024</t>
        </is>
      </c>
      <c r="G67" s="10" t="inlineStr">
        <is>
          <t>2023-2024</t>
        </is>
      </c>
      <c r="H67" s="10" t="inlineStr">
        <is>
          <t>Ley 31/2022, DA 48; RD 676/2024</t>
        </is>
      </c>
      <c r="I67" s="10" t="inlineStr">
        <is>
          <t>Invertir, financiar y gestionar PERTE Chip, Next Tech y Spain Audiovisual Hub.</t>
        </is>
      </c>
      <c r="J67" s="10" t="inlineStr">
        <is>
          <t>Juicio: Poder financiero real: operaciones de capital, créditos y garantías. No duplicar sociedad precedente y EPE como dos entes actuales.</t>
        </is>
      </c>
      <c r="K67" s="11" t="n"/>
      <c r="L67" s="10" t="n"/>
      <c r="M67" s="10" t="n"/>
      <c r="N67" s="10" t="n"/>
      <c r="O67" s="10" t="inlineStr">
        <is>
          <t>Sin cifra propia actual verificada</t>
        </is>
      </c>
      <c r="P67" s="12" t="n"/>
      <c r="Q67" s="12" t="n"/>
      <c r="R67" s="10" t="inlineStr">
        <is>
          <t>Presupuesto propio de explotación/capital 2026 no obtenido. El RD identifica envolventes de instrumentos: Chip 10.750 M, Next Tech 4.000 M y Audiovisual 1.712 M; son dotaciones de fondos, no gasto anual de SETT.</t>
        </is>
      </c>
      <c r="S67" s="10" t="inlineStr">
        <is>
          <t>31/08/2026 para IGAE; consulta 11/10/2026 para normas y actividad</t>
        </is>
      </c>
      <c r="T67" s="10" t="inlineStr">
        <is>
          <t>Creación acreditada; continuidad legal revisada, sin auditoría completa de actividad.</t>
        </is>
      </c>
      <c r="U67" s="10" t="inlineStr">
        <is>
          <t>La suma de fondos no es presupuesto administrativo, ni gasto ejecutado, ni autoridad para invertir todo de inmediato.</t>
        </is>
      </c>
      <c r="V67" s="10" t="inlineStr">
        <is>
          <t>No se ha identificado relación en esta revisión (no certifica ausencia)</t>
        </is>
      </c>
      <c r="W67" s="10" t="n"/>
      <c r="X67" s="10" t="inlineStr">
        <is>
          <t>Revisión cualitativa del mandato y estado de las 95 fichas; no auditoría exhaustiva de funciones ni proyectos.</t>
        </is>
      </c>
      <c r="Y67" s="10" t="n"/>
      <c r="Z67" s="10" t="inlineStr">
        <is>
          <t>https://www.boe.es/eli/es/rd/2024/07/16/676</t>
        </is>
      </c>
      <c r="AA67" s="12" t="n"/>
      <c r="AB67" s="10" t="n"/>
      <c r="AC67" s="10" t="n"/>
      <c r="AD67" s="10" t="n"/>
      <c r="AE67" s="13" t="inlineStr">
        <is>
          <t>https://files.instinct.com/q91pr53q4umo-entidades-publicas-poder-y-presupuesto</t>
        </is>
      </c>
      <c r="AF67" s="10" t="inlineStr">
        <is>
          <t>12/10/2026</t>
        </is>
      </c>
      <c r="AG67" s="10" t="n"/>
      <c r="AH67" s="10" t="n"/>
      <c r="AI67" s="10" t="inlineStr">
        <is>
          <t>Personas realmente ocupadas; no equiparar vocales, puestos RPT o apoyo ministerial con plantilla</t>
        </is>
      </c>
      <c r="AJ67" s="10" t="inlineStr">
        <is>
          <t>Pendiente: sin cifra de personal ocupado verificada en el conjunto actual</t>
        </is>
      </c>
      <c r="AK67" s="10" t="n"/>
      <c r="AL67" s="12" t="n"/>
      <c r="AM67" s="10" t="n"/>
      <c r="AN67" s="10" t="n"/>
      <c r="AO67" s="10" t="inlineStr">
        <is>
          <t>Pendiente: sin coste de personal individual verificado en el conjunto actual</t>
        </is>
      </c>
      <c r="AP67" s="10" t="n"/>
      <c r="AQ67" s="12" t="n"/>
      <c r="AR67" s="10" t="n"/>
      <c r="AS67" s="10" t="n"/>
      <c r="AT67" s="10" t="n"/>
      <c r="AU67" s="10" t="n"/>
      <c r="AV67" s="10" t="inlineStr">
        <is>
          <t>Pendiente: no se ha verificado gasto salarial ejecutado individual en esta versión</t>
        </is>
      </c>
      <c r="AW67" s="10" t="inlineStr">
        <is>
          <t>SIN CIFRA INDIVIDUAL IDENTIFICADA de presupuesto, personal ocupado y salarios ejecutados en fuentes revisadas. No significa cero ni prueba de que nada esté publicado.</t>
        </is>
      </c>
      <c r="AX67" s="14" t="n"/>
      <c r="AY67" s="14" t="n"/>
      <c r="AZ67" s="14" t="n"/>
      <c r="BA67" s="14" t="n"/>
      <c r="BB67" s="14" t="n"/>
      <c r="BC67" s="10" t="inlineStr">
        <is>
          <t>Revisado: SETT</t>
        </is>
      </c>
      <c r="BD67" s="10" t="inlineStr">
        <is>
          <t>Estudios/asistencia y financiación digital; no dictamen previo general de leyes en art3.</t>
        </is>
      </c>
      <c r="BE67" s="10" t="inlineStr">
        <is>
          <t>No consentimiento favorable para leyes establecido en funciones revisadas.</t>
        </is>
      </c>
      <c r="BF67" s="10" t="inlineStr">
        <is>
          <t>No veto legislativo identificado en estas cláusulas; no pretende descartar obligaciones sectoriales en otras normas.</t>
        </is>
      </c>
      <c r="BG67" s="10" t="inlineStr">
        <is>
          <t>RD676/2024 art3</t>
        </is>
      </c>
      <c r="BH67" s="10" t="inlineStr">
        <is>
          <t>https://www.boe.es/eli/es/rd/2024/07/16/676</t>
        </is>
      </c>
      <c r="BI67" s="12" t="n"/>
      <c r="BJ67" s="12" t="n"/>
      <c r="BK67" s="12" t="n"/>
      <c r="BL67" s="12" t="n"/>
      <c r="BM67" s="10" t="n"/>
      <c r="BN67" s="10" t="n"/>
      <c r="BO67" s="12" t="n"/>
      <c r="BP67" s="12" t="n"/>
      <c r="BQ67" s="12" t="n"/>
      <c r="BR67" s="12" t="n"/>
      <c r="BS67" s="12" t="n"/>
      <c r="BT67" s="12" t="n"/>
      <c r="BU67" s="12" t="n"/>
      <c r="BV67" s="27" t="inlineStr">
        <is>
          <t>Útil</t>
        </is>
      </c>
      <c r="BW67" s="27" t="inlineStr">
        <is>
          <t>Reformar</t>
        </is>
      </c>
      <c r="BX67" s="27" t="inlineStr">
        <is>
          <t>Financiación y ayudas</t>
        </is>
      </c>
      <c r="BY67" s="12" t="n"/>
      <c r="BZ67" s="27" t="inlineStr">
        <is>
          <t>No</t>
        </is>
      </c>
      <c r="CA67" s="27" t="inlineStr">
        <is>
          <t>Parcial</t>
        </is>
      </c>
      <c r="CB67" s="27" t="inlineStr">
        <is>
          <t>Invierte los fondos del PERTE Chip y Next Tech; el P100 audita el PERTE Chip antes de comprometer un euro más y fija condiciones a quien recibe capital público.</t>
        </is>
      </c>
      <c r="CC67" s="27" t="inlineStr">
        <is>
          <t>Explícito en el P100: Crecer y producir 5</t>
        </is>
      </c>
      <c r="CD67" s="12" t="n"/>
      <c r="CE67" s="27" t="inlineStr">
        <is>
          <t>Fondos tecnológicos (PERTE)</t>
        </is>
      </c>
      <c r="CF67" s="12" t="n"/>
      <c r="CG67" s="12" t="n"/>
      <c r="CH67" s="29">
        <f>IF(AND(ISNUMBER(BP67),ISNUMBER(AG67),AG67&gt;0),BP67*1000000/AG67,"")</f>
        <v/>
      </c>
      <c r="CI67" s="12" t="n"/>
      <c r="CJ67" s="12" t="n"/>
      <c r="CK67" s="12" t="n"/>
      <c r="CL67" s="12" t="n"/>
      <c r="CM67" s="12" t="n"/>
      <c r="CN67" s="12" t="n"/>
      <c r="CO67" s="12" t="n"/>
      <c r="CP67" s="12" t="n"/>
      <c r="CQ67" s="12" t="n"/>
      <c r="CR67" s="12" t="n"/>
      <c r="CS67" s="12" t="n"/>
    </row>
    <row r="68">
      <c r="A68" s="10" t="n">
        <v>67</v>
      </c>
      <c r="B68" s="10" t="inlineStr">
        <is>
          <t>Estatal</t>
        </is>
      </c>
      <c r="C68" s="10" t="inlineStr">
        <is>
          <t>Estado</t>
        </is>
      </c>
      <c r="D68" s="10" t="inlineStr">
        <is>
          <t>Sánchez</t>
        </is>
      </c>
      <c r="E68" s="10" t="inlineStr">
        <is>
          <t>Oficina Técnica de Desertificación</t>
        </is>
      </c>
      <c r="F68" s="10" t="inlineStr">
        <is>
          <t>Unidad interna nueva</t>
        </is>
      </c>
      <c r="G68" s="10" t="inlineStr">
        <is>
          <t>2025-08-01</t>
        </is>
      </c>
      <c r="H68" s="10" t="inlineStr">
        <is>
          <t>Orden TED/873/2025</t>
        </is>
      </c>
      <c r="I68" s="10" t="inlineStr">
        <is>
          <t>Coordinación técnica y representación internacional contra desertificación; seguimiento y propuestas.</t>
        </is>
      </c>
      <c r="J68" s="10" t="inlineStr">
        <is>
          <t>Juicio: Capacidad técnica interna prevista, no organismo autónomo ni policía ambiental.</t>
        </is>
      </c>
      <c r="K68" s="11" t="n"/>
      <c r="L68" s="10" t="n"/>
      <c r="M68" s="10" t="n"/>
      <c r="N68" s="10" t="n"/>
      <c r="O68" s="10" t="inlineStr">
        <is>
          <t>Sin cifra propia actual verificada</t>
        </is>
      </c>
      <c r="P68" s="12" t="n"/>
      <c r="Q68" s="12" t="n"/>
      <c r="R68" s="10" t="inlineStr">
        <is>
          <t>Sin línea presupuestaria individual identificada en los tomos oficiales de prórroga consultados. La norma dispone medios del departamento; coste individual no cuantificado. No significa 0 EUR.</t>
        </is>
      </c>
      <c r="S68" s="10" t="inlineStr">
        <is>
          <t>31/08/2026 para IGAE; consulta 11/10/2026 para normas y actividad</t>
        </is>
      </c>
      <c r="T68" s="10" t="inlineStr">
        <is>
          <t>Creación acreditada; continuidad legal revisada, sin auditoría completa de actividad.</t>
        </is>
      </c>
      <c r="U68" s="10" t="inlineStr">
        <is>
          <t>La norma cita carencia previa de medios; no acredita cuánto personal se incorporó después.</t>
        </is>
      </c>
      <c r="V68" s="10" t="inlineStr">
        <is>
          <t>No se ha identificado relación en esta revisión (no certifica ausencia)</t>
        </is>
      </c>
      <c r="W68" s="10" t="n"/>
      <c r="X68" s="10" t="inlineStr">
        <is>
          <t>Revisión cualitativa del mandato y estado de las 95 fichas; no auditoría exhaustiva de funciones ni proyectos.</t>
        </is>
      </c>
      <c r="Y68" s="10" t="n"/>
      <c r="Z68" s="30" t="inlineStr">
        <is>
          <t>https://boe.es/buscar/doc.php?id=BOE-A-2025-16493
https://www.boe.es/eli/es/o/2025/08/01/ted873</t>
        </is>
      </c>
      <c r="AA68" s="12" t="n"/>
      <c r="AB68" s="10" t="n"/>
      <c r="AC68" s="10" t="n"/>
      <c r="AD68" s="10" t="n"/>
      <c r="AE68" s="13" t="inlineStr">
        <is>
          <t>https://files.instinct.com/q91pr53q4umo-entidades-publicas-poder-y-presupuesto</t>
        </is>
      </c>
      <c r="AF68" s="10" t="inlineStr">
        <is>
          <t>12/10/2026</t>
        </is>
      </c>
      <c r="AG68" s="10" t="n"/>
      <c r="AH68" s="10" t="n"/>
      <c r="AI68" s="10" t="inlineStr">
        <is>
          <t>Personas realmente ocupadas; no equiparar vocales, puestos RPT o apoyo ministerial con plantilla</t>
        </is>
      </c>
      <c r="AJ68" s="10" t="inlineStr">
        <is>
          <t>Pendiente: sin cifra de personal ocupado verificada en el conjunto actual</t>
        </is>
      </c>
      <c r="AK68" s="10" t="n"/>
      <c r="AL68" s="12" t="n"/>
      <c r="AM68" s="10" t="n"/>
      <c r="AN68" s="10" t="n"/>
      <c r="AO68" s="10" t="inlineStr">
        <is>
          <t>Pendiente: sin coste de personal individual verificado en el conjunto actual</t>
        </is>
      </c>
      <c r="AP68" s="10" t="n"/>
      <c r="AQ68" s="12" t="n"/>
      <c r="AR68" s="10" t="n"/>
      <c r="AS68" s="10" t="n"/>
      <c r="AT68" s="10" t="n"/>
      <c r="AU68" s="10" t="n"/>
      <c r="AV68" s="10" t="inlineStr">
        <is>
          <t>Pendiente: no se ha verificado gasto salarial ejecutado individual en esta versión</t>
        </is>
      </c>
      <c r="AW68" s="10" t="inlineStr">
        <is>
          <t>SIN CIFRA INDIVIDUAL IDENTIFICADA de presupuesto, personal ocupado y salarios ejecutados en fuentes revisadas. No significa cero ni prueba de que nada esté publicado.</t>
        </is>
      </c>
      <c r="AX68" s="14" t="n"/>
      <c r="AY68" s="14" t="n"/>
      <c r="AZ68" s="14" t="n"/>
      <c r="BA68" s="14" t="n"/>
      <c r="BB68" s="14" t="inlineStr">
        <is>
          <t>Apoyo ministerial/departamental indicado en el lote y norma de la ficha; gasto individual no desglosado verificado. No repartir gasto total del ministerio. Medios del MITERD (Orden TED/873/2025)</t>
        </is>
      </c>
      <c r="BC68" s="10" t="inlineStr">
        <is>
          <t>Revisado: Oficina desertificación</t>
        </is>
      </c>
      <c r="BD68" s="10" t="inlineStr">
        <is>
          <t>Unidad técnica ejecución/coordinación y apoyo definiciónpolíticas; no informe normativo obligatorio en su orden.</t>
        </is>
      </c>
      <c r="BE68" s="10" t="inlineStr">
        <is>
          <t>No consentimiento favorable para leyes establecido en funciones revisadas.</t>
        </is>
      </c>
      <c r="BF68" s="10" t="inlineStr">
        <is>
          <t>No veto legislativo identificado en estas cláusulas; no pretende descartar obligaciones sectoriales en otras normas.</t>
        </is>
      </c>
      <c r="BG68" s="10" t="inlineStr">
        <is>
          <t>OrdenTED/873/2025 artículoúnico.3</t>
        </is>
      </c>
      <c r="BH68" s="10" t="inlineStr">
        <is>
          <t>https://boe.es/buscar/doc.php?id=BOE-A-2025-16493</t>
        </is>
      </c>
      <c r="BI68" s="12" t="n"/>
      <c r="BJ68" s="12" t="n"/>
      <c r="BK68" s="12" t="n"/>
      <c r="BL68" s="12" t="n"/>
      <c r="BM68" s="10" t="n"/>
      <c r="BN68" s="10" t="n"/>
      <c r="BO68" s="12" t="n"/>
      <c r="BP68" s="12" t="n"/>
      <c r="BQ68" s="12" t="n"/>
      <c r="BR68" s="12" t="n"/>
      <c r="BS68" s="12" t="n"/>
      <c r="BT68" s="12" t="n"/>
      <c r="BU68" s="12" t="n"/>
      <c r="BV68" s="27" t="inlineStr">
        <is>
          <t>No útil</t>
        </is>
      </c>
      <c r="BW68" s="27" t="inlineStr">
        <is>
          <t>Suprimir</t>
        </is>
      </c>
      <c r="BX68" s="27" t="inlineStr">
        <is>
          <t>Consultivo o participación</t>
        </is>
      </c>
      <c r="BY68" s="12" t="n"/>
      <c r="BZ68" s="27" t="inlineStr">
        <is>
          <t>No</t>
        </is>
      </c>
      <c r="CA68" s="27" t="inlineStr">
        <is>
          <t>No acreditada</t>
        </is>
      </c>
      <c r="CB68" s="27" t="inlineStr">
        <is>
          <t>Observatorio, consejo o comisión: el P100 los cierra salvo que su ministerio demuestre que su trabajo cambia decisiones o mejora un servicio; publicar informes no cuenta.</t>
        </is>
      </c>
      <c r="CC68" s="27" t="inlineStr">
        <is>
          <t>Explícito en el P100: Costes del Estado 2</t>
        </is>
      </c>
      <c r="CD68" s="27" t="inlineStr">
        <is>
          <t>Estructura ordinaria del ministerio, si alguna función resultara imprescindible</t>
        </is>
      </c>
      <c r="CE68" s="27" t="inlineStr">
        <is>
          <t>Desertificación</t>
        </is>
      </c>
      <c r="CF68" s="12" t="n"/>
      <c r="CG68" s="27" t="inlineStr">
        <is>
          <t>Apoyo: Es un órgano administrativo de la SG de Política Forestal y Lucha contra la Desertificación (DG de Biodiversidad, Bosques y Desertificación, MITERD), con el rango que fije la RPT (artículo único.1-2 Orden TED/873/2025).</t>
        </is>
      </c>
      <c r="CH68" s="29">
        <f>IF(AND(ISNUMBER(BP68),ISNUMBER(AG68),AG68&gt;0),BP68*1000000/AG68,"")</f>
        <v/>
      </c>
      <c r="CI68" s="12" t="n"/>
      <c r="CJ68" s="12" t="n"/>
      <c r="CK68" s="12" t="n"/>
      <c r="CL68" s="12" t="n"/>
      <c r="CM68" s="12" t="n"/>
      <c r="CN68" s="12" t="n"/>
      <c r="CO68" s="12" t="n"/>
      <c r="CP68" s="12" t="n"/>
      <c r="CQ68" s="12" t="n"/>
      <c r="CR68" s="12" t="n"/>
      <c r="CS68" s="12" t="n"/>
    </row>
    <row r="69">
      <c r="A69" s="10" t="n">
        <v>68</v>
      </c>
      <c r="B69" s="10" t="inlineStr">
        <is>
          <t>Estatal</t>
        </is>
      </c>
      <c r="C69" s="10" t="inlineStr">
        <is>
          <t>Estado</t>
        </is>
      </c>
      <c r="D69" s="10" t="inlineStr">
        <is>
          <t>Sánchez</t>
        </is>
      </c>
      <c r="E69" s="10" t="inlineStr">
        <is>
          <t>Comisión Interministerial del Trío de Eclipses 2026-2027-2028</t>
        </is>
      </c>
      <c r="F69" s="10" t="inlineStr">
        <is>
          <t>Órgano temporal nuevo</t>
        </is>
      </c>
      <c r="G69" s="10" t="inlineStr">
        <is>
          <t>2025-07-29</t>
        </is>
      </c>
      <c r="H69" s="10" t="inlineStr">
        <is>
          <t>RD 686/2025</t>
        </is>
      </c>
      <c r="I69" s="10" t="inlineStr">
        <is>
          <t>Preparar y coordinar seguridad, movilidad, salud, ciencia y turismo en los eclipses.</t>
        </is>
      </c>
      <c r="J69" s="10" t="inlineStr">
        <is>
          <t>Juicio: Coordinación temporal, no regulador independiente. Tener caducidad no significa función inexistente.</t>
        </is>
      </c>
      <c r="K69" s="11" t="n"/>
      <c r="L69" s="10" t="n"/>
      <c r="M69" s="10" t="n"/>
      <c r="N69" s="10" t="n"/>
      <c r="O69" s="10" t="inlineStr">
        <is>
          <t>Sin cifra propia actual verificada</t>
        </is>
      </c>
      <c r="P69" s="12" t="n"/>
      <c r="Q69" s="12" t="n"/>
      <c r="R69" s="10" t="inlineStr">
        <is>
          <t>Sin línea presupuestaria individual identificada en los tomos oficiales de prórroga consultados. La norma dispone medios del departamento; coste individual no cuantificado. No significa 0 EUR.</t>
        </is>
      </c>
      <c r="S69" s="10" t="inlineStr">
        <is>
          <t>31/08/2026 para IGAE; consulta 11/10/2026 para normas y actividad</t>
        </is>
      </c>
      <c r="T69" s="10" t="inlineStr">
        <is>
          <t>Creación acreditada; continuidad legal revisada, sin auditoría completa de actividad.</t>
        </is>
      </c>
      <c r="U69" s="10" t="inlineStr">
        <is>
          <t>Extinción prevista al cumplir fines y como máximo 31/12/2028. No presentar futura fecha límite como extinción ya ocurrida.</t>
        </is>
      </c>
      <c r="V69" s="10" t="inlineStr">
        <is>
          <t>No se ha identificado relación en esta revisión (no certifica ausencia)</t>
        </is>
      </c>
      <c r="W69" s="10" t="n"/>
      <c r="X69" s="10" t="inlineStr">
        <is>
          <t>Revisión cualitativa del mandato y estado de las 95 fichas; no auditoría exhaustiva de funciones ni proyectos.</t>
        </is>
      </c>
      <c r="Y69" s="10" t="n"/>
      <c r="Z69" s="10" t="inlineStr">
        <is>
          <t>https://www.boe.es/eli/es/rd/2025/07/29/686/con</t>
        </is>
      </c>
      <c r="AA69" s="12" t="n"/>
      <c r="AB69" s="10" t="n"/>
      <c r="AC69" s="10" t="n"/>
      <c r="AD69" s="10" t="n"/>
      <c r="AE69" s="13" t="inlineStr">
        <is>
          <t>https://files.instinct.com/q91pr53q4umo-entidades-publicas-poder-y-presupuesto</t>
        </is>
      </c>
      <c r="AF69" s="10" t="inlineStr">
        <is>
          <t>12/10/2026</t>
        </is>
      </c>
      <c r="AG69" s="10" t="n"/>
      <c r="AH69" s="10" t="n"/>
      <c r="AI69" s="10" t="inlineStr">
        <is>
          <t>Personas realmente ocupadas; no equiparar vocales, puestos RPT o apoyo ministerial con plantilla</t>
        </is>
      </c>
      <c r="AJ69" s="10" t="inlineStr">
        <is>
          <t>Pendiente: sin cifra de personal ocupado verificada en el conjunto actual</t>
        </is>
      </c>
      <c r="AK69" s="10" t="n"/>
      <c r="AL69" s="12" t="n"/>
      <c r="AM69" s="10" t="n"/>
      <c r="AN69" s="10" t="n"/>
      <c r="AO69" s="10" t="inlineStr">
        <is>
          <t>Pendiente: sin coste de personal individual verificado en el conjunto actual</t>
        </is>
      </c>
      <c r="AP69" s="10" t="n"/>
      <c r="AQ69" s="12" t="n"/>
      <c r="AR69" s="10" t="n"/>
      <c r="AS69" s="10" t="n"/>
      <c r="AT69" s="10" t="n"/>
      <c r="AU69" s="10" t="n"/>
      <c r="AV69" s="10" t="inlineStr">
        <is>
          <t>Pendiente: no se ha verificado gasto salarial ejecutado individual en esta versión</t>
        </is>
      </c>
      <c r="AW69" s="10" t="inlineStr">
        <is>
          <t>SIN CIFRA INDIVIDUAL IDENTIFICADA de presupuesto, personal ocupado y salarios ejecutados en fuentes revisadas. No significa cero ni prueba de que nada esté publicado.</t>
        </is>
      </c>
      <c r="AX69" s="14" t="n"/>
      <c r="AY69" s="14" t="n"/>
      <c r="AZ69" s="14" t="n"/>
      <c r="BA69" s="14" t="n"/>
      <c r="BB69" s="14" t="inlineStr">
        <is>
          <t>Apoyo ministerial/departamental indicado en el lote y norma de la ficha; gasto individual no desglosado verificado. No repartir gasto total del ministerio. Órgano interministerial; medios de los departamentos (RD 686/2025)</t>
        </is>
      </c>
      <c r="BC69" s="10" t="inlineStr">
        <is>
          <t>Coordinación eclipses y propuestas de modificación normativa</t>
        </is>
      </c>
      <c r="BD69" s="10" t="inlineStr">
        <is>
          <t>No informe preceptivo general sobre aprobación de leyes identificado en las funciones revisadas</t>
        </is>
      </c>
      <c r="BE69" s="10" t="inlineStr">
        <is>
          <t>No consentimiento favorable o vinculación normativa establecido en funciones revisadas</t>
        </is>
      </c>
      <c r="BF69" s="10" t="inlineStr">
        <is>
          <t>No poder de veto legislativo atribuido en funciones revisadas. Proponer cambios, informar a Cortes o participar no equivale a aprobar leyes; no certifica ausencia de reglas sectoriales posteriores.</t>
        </is>
      </c>
      <c r="BG69" s="10" t="inlineStr">
        <is>
          <t>RD686/2025 art 3(c)</t>
        </is>
      </c>
      <c r="BH69" s="10" t="inlineStr">
        <is>
          <t>https://www.boe.es/eli/es/rd/2025/07/29/686/con</t>
        </is>
      </c>
      <c r="BI69" s="12" t="n"/>
      <c r="BJ69" s="12" t="n"/>
      <c r="BK69" s="12" t="n"/>
      <c r="BL69" s="12" t="n"/>
      <c r="BM69" s="10" t="n"/>
      <c r="BN69" s="10" t="n"/>
      <c r="BO69" s="12" t="n"/>
      <c r="BP69" s="12" t="n"/>
      <c r="BQ69" s="12" t="n"/>
      <c r="BR69" s="12" t="n"/>
      <c r="BS69" s="12" t="n"/>
      <c r="BT69" s="12" t="n"/>
      <c r="BU69" s="12" t="n"/>
      <c r="BV69" s="27" t="inlineStr">
        <is>
          <t>No útil</t>
        </is>
      </c>
      <c r="BW69" s="27" t="inlineStr">
        <is>
          <t>Suprimir</t>
        </is>
      </c>
      <c r="BX69" s="27" t="inlineStr">
        <is>
          <t>Consultivo o participación</t>
        </is>
      </c>
      <c r="BY69" s="12" t="n"/>
      <c r="BZ69" s="27" t="inlineStr">
        <is>
          <t>No</t>
        </is>
      </c>
      <c r="CA69" s="27" t="inlineStr">
        <is>
          <t>Acreditada</t>
        </is>
      </c>
      <c r="CB69" s="27" t="inlineStr">
        <is>
          <t>Observatorio, consejo o comisión: el P100 los cierra salvo que su ministerio demuestre que su trabajo cambia decisiones o mejora un servicio; publicar informes no cuenta.</t>
        </is>
      </c>
      <c r="CC69" s="27" t="inlineStr">
        <is>
          <t>Explícito en el P100: Costes del Estado 2</t>
        </is>
      </c>
      <c r="CD69" s="27" t="inlineStr">
        <is>
          <t>Estructura ordinaria del ministerio, si alguna función resultara imprescindible</t>
        </is>
      </c>
      <c r="CE69" s="27" t="inlineStr">
        <is>
          <t>Eclipses 2026-2028</t>
        </is>
      </c>
      <c r="CF69" s="12" t="n"/>
      <c r="CG69" s="27" t="inlineStr">
        <is>
          <t>Apoyo: Secretaría: titular de la Presidencia de la Comisión Nacional de Astronomía (art. 4.6 RD 686/2025); coordinación desde la SE de Ciencia, Innovación y Universidades; medios de los departamentos que la integran (DA 2.ª). vocales: 13.</t>
        </is>
      </c>
      <c r="CH69" s="29">
        <f>IF(AND(ISNUMBER(BP69),ISNUMBER(AG69),AG69&gt;0),BP69*1000000/AG69,"")</f>
        <v/>
      </c>
      <c r="CI69" s="12" t="n"/>
      <c r="CJ69" s="12" t="n"/>
      <c r="CK69" s="12" t="n"/>
      <c r="CL69" s="12" t="n"/>
      <c r="CM69" s="12" t="n"/>
      <c r="CN69" s="12" t="n"/>
      <c r="CO69" s="12" t="n"/>
      <c r="CP69" s="12" t="n"/>
      <c r="CQ69" s="12" t="n"/>
      <c r="CR69" s="12" t="n"/>
      <c r="CS69" s="12" t="n"/>
    </row>
    <row r="70">
      <c r="A70" s="10" t="n">
        <v>69</v>
      </c>
      <c r="B70" s="10" t="inlineStr">
        <is>
          <t>Estatal</t>
        </is>
      </c>
      <c r="C70" s="10" t="inlineStr">
        <is>
          <t>Estado</t>
        </is>
      </c>
      <c r="D70" s="10" t="inlineStr">
        <is>
          <t>Sánchez</t>
        </is>
      </c>
      <c r="E70" s="10" t="inlineStr">
        <is>
          <t>Plataforma Nacional para la Reducción del Riesgo de Desastres</t>
        </is>
      </c>
      <c r="F70" s="10" t="inlineStr">
        <is>
          <t>Mecanismo colegiado multisectorial nuevo</t>
        </is>
      </c>
      <c r="G70" s="10" t="inlineStr">
        <is>
          <t>2026-04-21</t>
        </is>
      </c>
      <c r="H70" s="10" t="inlineStr">
        <is>
          <t>Acuerdo CM 21/04/2026; resolución 23/04/2026</t>
        </is>
      </c>
      <c r="I70" s="10" t="inlineStr">
        <is>
          <t>Cooperar en prevención de desastres, Marco de Sendai y recomendaciones.</t>
        </is>
      </c>
      <c r="J70" s="10" t="inlineStr">
        <is>
          <t>Juicio: Coordinación sin sustituir al Consejo Nacional de Protección Civil ni asumir mando de emergencias.</t>
        </is>
      </c>
      <c r="K70" s="11" t="n"/>
      <c r="L70" s="10" t="n"/>
      <c r="M70" s="10" t="n"/>
      <c r="N70" s="10" t="n"/>
      <c r="O70" s="10" t="inlineStr">
        <is>
          <t>Sin cifra propia actual verificada</t>
        </is>
      </c>
      <c r="P70" s="12" t="n"/>
      <c r="Q70" s="12" t="n"/>
      <c r="R70" s="10" t="inlineStr">
        <is>
          <t>Sin línea presupuestaria individual identificada en los tomos oficiales de prórroga consultados. La norma dispone medios del departamento; coste individual no cuantificado. No significa 0 EUR.</t>
        </is>
      </c>
      <c r="S70" s="10" t="inlineStr">
        <is>
          <t>31/08/2026 para IGAE; consulta 11/10/2026 para normas y actividad</t>
        </is>
      </c>
      <c r="T70" s="10" t="inlineStr">
        <is>
          <t>Creación acreditada; continuidad legal revisada, sin auditoría completa de actividad.</t>
        </is>
      </c>
      <c r="U70" s="10" t="inlineStr">
        <is>
          <t>La norma da seis meses para constitución; constitución efectiva no verificada al corte.</t>
        </is>
      </c>
      <c r="V70" s="10" t="inlineStr">
        <is>
          <t>No se ha identificado relación en esta revisión (no certifica ausencia)</t>
        </is>
      </c>
      <c r="W70" s="10" t="n"/>
      <c r="X70" s="10" t="inlineStr">
        <is>
          <t>Revisión cualitativa del mandato y estado de las 95 fichas; no auditoría exhaustiva de funciones ni proyectos.</t>
        </is>
      </c>
      <c r="Y70" s="10" t="n"/>
      <c r="Z70" s="30" t="inlineStr">
        <is>
          <t>https://www.boe.es/buscar/act.php?id=BOE-A-2026-9157
https://www.boe.es/boe/dias/2026/04/27/pdfs/BOE-A-2026-9157.pdf</t>
        </is>
      </c>
      <c r="AA70" s="12" t="n"/>
      <c r="AB70" s="10" t="n"/>
      <c r="AC70" s="10" t="n"/>
      <c r="AD70" s="10" t="n"/>
      <c r="AE70" s="13" t="inlineStr">
        <is>
          <t>https://files.instinct.com/q91pr53q4umo-entidades-publicas-poder-y-presupuesto</t>
        </is>
      </c>
      <c r="AF70" s="10" t="inlineStr">
        <is>
          <t>12/10/2026</t>
        </is>
      </c>
      <c r="AG70" s="10" t="n"/>
      <c r="AH70" s="10" t="n"/>
      <c r="AI70" s="10" t="inlineStr">
        <is>
          <t>Personas realmente ocupadas; no equiparar vocales, puestos RPT o apoyo ministerial con plantilla</t>
        </is>
      </c>
      <c r="AJ70" s="10" t="inlineStr">
        <is>
          <t>Pendiente: sin cifra de personal ocupado verificada en el conjunto actual</t>
        </is>
      </c>
      <c r="AK70" s="10" t="n"/>
      <c r="AL70" s="12" t="n"/>
      <c r="AM70" s="10" t="n"/>
      <c r="AN70" s="10" t="n"/>
      <c r="AO70" s="10" t="inlineStr">
        <is>
          <t>Pendiente: sin coste de personal individual verificado en el conjunto actual</t>
        </is>
      </c>
      <c r="AP70" s="10" t="n"/>
      <c r="AQ70" s="12" t="n"/>
      <c r="AR70" s="10" t="n"/>
      <c r="AS70" s="10" t="n"/>
      <c r="AT70" s="10" t="n"/>
      <c r="AU70" s="10" t="n"/>
      <c r="AV70" s="10" t="inlineStr">
        <is>
          <t>Pendiente: no se ha verificado gasto salarial ejecutado individual en esta versión</t>
        </is>
      </c>
      <c r="AW70" s="10" t="inlineStr">
        <is>
          <t>SIN CIFRA INDIVIDUAL IDENTIFICADA de presupuesto, personal ocupado y salarios ejecutados en fuentes revisadas. No significa cero ni prueba de que nada esté publicado.</t>
        </is>
      </c>
      <c r="AX70" s="14" t="n"/>
      <c r="AY70" s="14" t="n"/>
      <c r="AZ70" s="14" t="n"/>
      <c r="BA70" s="14" t="n"/>
      <c r="BB70" s="14" t="inlineStr">
        <is>
          <t>Apoyo ministerial/departamental indicado en el lote y norma de la ficha; gasto individual no desglosado verificado. No repartir gasto total del ministerio. Medios del departamento (Acuerdo CM 21/04/2026)</t>
        </is>
      </c>
      <c r="BC70" s="10" t="inlineStr">
        <is>
          <t>Revisado: plataforma riesgos</t>
        </is>
      </c>
      <c r="BD70" s="10" t="inlineStr">
        <is>
          <t>Informes requeridos expresamente NO preceptivos; no aprobación legislativa.</t>
        </is>
      </c>
      <c r="BE70" s="10" t="inlineStr">
        <is>
          <t>No se exige consentimiento favorable ni carácter vinculante del informe en la cláusula citada; no es veto.</t>
        </is>
      </c>
      <c r="BF70" s="10" t="inlineStr">
        <is>
          <t>Asesoramiento y cooperación, no veto legislativo establecido.</t>
        </is>
      </c>
      <c r="BG70" s="10" t="inlineStr">
        <is>
          <t>Resolución23/04/2026 función4</t>
        </is>
      </c>
      <c r="BH70" s="10" t="inlineStr">
        <is>
          <t>https://www.boe.es/buscar/act.php?id=BOE-A-2026-9157</t>
        </is>
      </c>
      <c r="BI70" s="12" t="n"/>
      <c r="BJ70" s="12" t="n"/>
      <c r="BK70" s="12" t="n"/>
      <c r="BL70" s="12" t="n"/>
      <c r="BM70" s="10" t="n"/>
      <c r="BN70" s="10" t="n"/>
      <c r="BO70" s="12" t="n"/>
      <c r="BP70" s="12" t="n"/>
      <c r="BQ70" s="12" t="n"/>
      <c r="BR70" s="12" t="n"/>
      <c r="BS70" s="12" t="n"/>
      <c r="BT70" s="12" t="n"/>
      <c r="BU70" s="12" t="n"/>
      <c r="BV70" s="27" t="inlineStr">
        <is>
          <t>No útil</t>
        </is>
      </c>
      <c r="BW70" s="27" t="inlineStr">
        <is>
          <t>Suprimir</t>
        </is>
      </c>
      <c r="BX70" s="27" t="inlineStr">
        <is>
          <t>Consultivo o participación</t>
        </is>
      </c>
      <c r="BY70" s="12" t="n"/>
      <c r="BZ70" s="27" t="inlineStr">
        <is>
          <t>No</t>
        </is>
      </c>
      <c r="CA70" s="27" t="inlineStr">
        <is>
          <t>No acreditada</t>
        </is>
      </c>
      <c r="CB70" s="27" t="inlineStr">
        <is>
          <t>Observatorio, consejo o comisión: el P100 los cierra salvo que su ministerio demuestre que su trabajo cambia decisiones o mejora un servicio; publicar informes no cuenta.</t>
        </is>
      </c>
      <c r="CC70" s="27" t="inlineStr">
        <is>
          <t>Explícito en el P100: Costes del Estado 2</t>
        </is>
      </c>
      <c r="CD70" s="27" t="inlineStr">
        <is>
          <t>Estructura ordinaria del ministerio, si alguna función resultara imprescindible</t>
        </is>
      </c>
      <c r="CE70" s="27" t="inlineStr">
        <is>
          <t>Riesgo de desastres</t>
        </is>
      </c>
      <c r="CF70" s="12" t="n"/>
      <c r="CG70" s="27" t="inlineStr">
        <is>
          <t>Apoyo: DG de Protección Civil y Emergencias: la presidencia y los medios materiales y personales (apdo. Séptimo); secretaría a cargo del titular de la SG de Formación y Relaciones Institucionales (apdo. Cuarto.4).</t>
        </is>
      </c>
      <c r="CH70" s="29">
        <f>IF(AND(ISNUMBER(BP70),ISNUMBER(AG70),AG70&gt;0),BP70*1000000/AG70,"")</f>
        <v/>
      </c>
      <c r="CI70" s="12" t="n"/>
      <c r="CJ70" s="12" t="n"/>
      <c r="CK70" s="12" t="n"/>
      <c r="CL70" s="12" t="n"/>
      <c r="CM70" s="12" t="n"/>
      <c r="CN70" s="12" t="n"/>
      <c r="CO70" s="12" t="n"/>
      <c r="CP70" s="12" t="n"/>
      <c r="CQ70" s="12" t="n"/>
      <c r="CR70" s="12" t="n"/>
      <c r="CS70" s="12" t="n"/>
    </row>
    <row r="71">
      <c r="A71" s="10" t="n">
        <v>70</v>
      </c>
      <c r="B71" s="10" t="inlineStr">
        <is>
          <t>Estatal: creación legal no confirmada operativa</t>
        </is>
      </c>
      <c r="C71" s="10" t="inlineStr">
        <is>
          <t>Estado</t>
        </is>
      </c>
      <c r="D71" s="10" t="inlineStr">
        <is>
          <t>Zapatero</t>
        </is>
      </c>
      <c r="E71" s="10" t="inlineStr">
        <is>
          <t>Consejo Estatal de Medios Audiovisuales (CEMA)</t>
        </is>
      </c>
      <c r="F71" s="10" t="inlineStr">
        <is>
          <t>Creación legal; distinguir puesta en funcionamiento</t>
        </is>
      </c>
      <c r="G71" s="10" t="inlineStr">
        <is>
          <t>2010-03-31</t>
        </is>
      </c>
      <c r="H71" s="10" t="inlineStr">
        <is>
          <t>Ley7/2010, títuloV</t>
        </is>
      </c>
      <c r="I71" s="10" t="inlineStr">
        <is>
          <t>Autoridad audiovisual independiente: supervisión, regulación, inspección y sanción.</t>
        </is>
      </c>
      <c r="J71" s="10" t="inlineStr">
        <is>
          <t>Poder legal previsto alto; NO confirmado poder operativo efectivo antes de extinción. En junio2011 el Gobierno aún impulsaba constitución efectiva.</t>
        </is>
      </c>
      <c r="K71" s="11" t="n"/>
      <c r="L71" s="10" t="n"/>
      <c r="M71" s="10" t="n"/>
      <c r="N71" s="10" t="n"/>
      <c r="O71" s="10" t="inlineStr">
        <is>
          <t>Sin presupuesto propio actual: supresión/extinción; no cuantificar sustituto</t>
        </is>
      </c>
      <c r="P71" s="12" t="n"/>
      <c r="Q71" s="12" t="n"/>
      <c r="R71" s="10" t="inlineStr">
        <is>
          <t>Sin presupuesto propio actual tras extinción. No se atribuye el presupuesto de CNMC o ministerio sucesor.</t>
        </is>
      </c>
      <c r="S71" s="10" t="inlineStr">
        <is>
          <t>Actualidad2026; extinción2013</t>
        </is>
      </c>
      <c r="T71" s="10" t="inlineStr">
        <is>
          <t>Ley3/2013 DA2 incluye su extinción con constitución de CNMC</t>
        </is>
      </c>
      <c r="U71" s="10" t="inlineStr">
        <is>
          <t>Conflicto: historia actual de CNMC dice entró en funcionamiento2010, pero acuerdo BOE2011 aún ordena impulsar constitución. No presentar como caso probado de organismo operativo ni como cascarón sin advertir contradicción.</t>
        </is>
      </c>
      <c r="V71" s="10" t="inlineStr">
        <is>
          <t>Reordenación legal; constitución previa no confirmada</t>
        </is>
      </c>
      <c r="W71" s="10" t="inlineStr">
        <is>
          <t>24, 72</t>
        </is>
      </c>
      <c r="X71" s="10" t="inlineStr">
        <is>
          <t>Ley 3/2013 prevé extinción con CNMC; no se ha confirmado por completo la constitución operativa previa. CEMA conserva conflicto entre fuentes.</t>
        </is>
      </c>
      <c r="Y71"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https://www.boe.es/eli/es/l/2010/03/31/7
https://www.boe.es/diario_boe/txt.php?id=BOE-A-2011-9735
https://www.cnmc.es/somos-cnmc/sobre-nosotros/que-es-la-cnmc
https://www.boe.es/eli/es/rdl/2011/08/26/11</t>
        </is>
      </c>
      <c r="Z71" s="10" t="inlineStr">
        <is>
          <t>https://www.boe.es/eli/es/l/2010/03/31/7
https://www.boe.es/diario_boe/txt.php?id=BOE-A-2013-5940
https://www.boe.es/diario_boe/txt.php?id=BOE-A-2011-9735
https://www.cnmc.es/somos-cnmc/sobre-nosotros/que-es-la-cnmc</t>
        </is>
      </c>
      <c r="AA71" s="12" t="n"/>
      <c r="AB71" s="10" t="n"/>
      <c r="AC71" s="10" t="n"/>
      <c r="AD71" s="10" t="n"/>
      <c r="AE71" s="13" t="inlineStr">
        <is>
          <t>https://files.instinct.com/q91pr53q4umo-entidades-publicas-poder-y-presupuesto</t>
        </is>
      </c>
      <c r="AF71" s="10" t="inlineStr">
        <is>
          <t>12/10/2026</t>
        </is>
      </c>
      <c r="AG71" s="10" t="n"/>
      <c r="AH71" s="10" t="n"/>
      <c r="AI71" s="10" t="inlineStr">
        <is>
          <t>Personas realmente ocupadas; no equiparar vocales, puestos RPT o apoyo ministerial con plantilla</t>
        </is>
      </c>
      <c r="AJ71" s="10" t="inlineStr">
        <is>
          <t>Pendiente: sin cifra de personal ocupado verificada en el conjunto actual</t>
        </is>
      </c>
      <c r="AK71" s="10" t="n"/>
      <c r="AL71" s="12" t="n"/>
      <c r="AM71" s="10" t="n"/>
      <c r="AN71" s="10" t="n"/>
      <c r="AO71" s="10" t="inlineStr">
        <is>
          <t>Pendiente: sin coste de personal individual verificado en el conjunto actual</t>
        </is>
      </c>
      <c r="AP71" s="10" t="n"/>
      <c r="AQ71" s="12" t="n"/>
      <c r="AR71" s="10" t="n"/>
      <c r="AS71" s="10" t="n"/>
      <c r="AT71" s="10" t="n"/>
      <c r="AU71" s="10" t="n"/>
      <c r="AV71" s="10" t="inlineStr">
        <is>
          <t>Pendiente: no se ha verificado gasto salarial ejecutado individual en esta versión</t>
        </is>
      </c>
      <c r="AW71" s="10" t="inlineStr">
        <is>
          <t>SIN CIFRA INDIVIDUAL VERIFICADA de presupuesto, personal ocupado y salarios ejecutados; investigación pendiente, no prueba de falta de publicación</t>
        </is>
      </c>
      <c r="AX71" s="14" t="n"/>
      <c r="AY71" s="14" t="n"/>
      <c r="AZ71" s="14" t="n"/>
      <c r="BA71" s="14" t="n"/>
      <c r="BB71" s="14" t="n"/>
      <c r="BC71" s="10" t="inlineStr">
        <is>
          <t>Revisado: CEMA histórico, constitución operativa no confirmada</t>
        </is>
      </c>
      <c r="BD71" s="10" t="inlineStr">
        <is>
          <t>Ley7/2010 art47.2a: informe PREVIO sobre proyectos/disposiciones sector audiovisual;47.2e procedimientos de reguladores.</t>
        </is>
      </c>
      <c r="BE71" s="10" t="inlineStr">
        <is>
          <t>No se exige consentimiento favorable ni carácter vinculante del informe en la cláusula citada; no es veto.</t>
        </is>
      </c>
      <c r="BF71" s="10" t="inlineStr">
        <is>
          <t>Mandato legal histórico, no facultad actual; constitución operativa no confirmada. Informe anual preceptivo no es aprobación ley.</t>
        </is>
      </c>
      <c r="BG71" s="10" t="inlineStr">
        <is>
          <t>Ley7/2010 original art47.2a,c,e</t>
        </is>
      </c>
      <c r="BH71" s="10" t="inlineStr">
        <is>
          <t>https://www.boe.es/diario_boe/txt.php?id=BOE-A-2010-5292</t>
        </is>
      </c>
      <c r="BI71" s="12" t="n"/>
      <c r="BJ71" s="12" t="n"/>
      <c r="BK71" s="12" t="n"/>
      <c r="BL71" s="12" t="n"/>
      <c r="BM71" s="10" t="n"/>
      <c r="BN71" s="10" t="n"/>
      <c r="BO71" s="12" t="n"/>
      <c r="BP71" s="12" t="n"/>
      <c r="BQ71" s="12" t="n"/>
      <c r="BR71" s="12" t="n"/>
      <c r="BS71" s="12" t="n"/>
      <c r="BT71" s="12" t="n"/>
      <c r="BU71" s="12" t="n"/>
      <c r="BV71" s="27" t="inlineStr">
        <is>
          <t>Extinguida</t>
        </is>
      </c>
      <c r="BW71" s="27" t="inlineStr">
        <is>
          <t>Extinguida</t>
        </is>
      </c>
      <c r="BX71" s="27" t="inlineStr">
        <is>
          <t>Extinguida o no constituida</t>
        </is>
      </c>
      <c r="BY71" s="27" t="inlineStr">
        <is>
          <t>4 organismos sobre este tema entre el Estado y las CCAA (verificados)</t>
        </is>
      </c>
      <c r="BZ71" s="27" t="inlineStr">
        <is>
          <t>No</t>
        </is>
      </c>
      <c r="CA71" s="27" t="inlineStr">
        <is>
          <t>No aplica (no vigente)</t>
        </is>
      </c>
      <c r="CB71" s="27" t="inlineStr">
        <is>
          <t>Creado por ley en 2010, nunca constituido; extinguido en 2013 (CNMC).</t>
        </is>
      </c>
      <c r="CC71" s="12" t="n"/>
      <c r="CD71" s="12" t="n"/>
      <c r="CE71" s="27" t="inlineStr">
        <is>
          <t>Consejos audiovisuales (reguladores)</t>
        </is>
      </c>
      <c r="CF71" s="28" t="n">
        <v>4</v>
      </c>
      <c r="CG71" s="12" t="n"/>
      <c r="CH71" s="29">
        <f>IF(AND(ISNUMBER(BP71),ISNUMBER(AG71),AG71&gt;0),BP71*1000000/AG71,"")</f>
        <v/>
      </c>
      <c r="CI71" s="12" t="n"/>
      <c r="CJ71" s="12" t="n"/>
      <c r="CK71" s="12" t="n"/>
      <c r="CL71" s="12" t="n"/>
      <c r="CM71" s="12" t="n"/>
      <c r="CN71" s="12" t="n"/>
      <c r="CO71" s="12" t="n"/>
      <c r="CP71" s="12" t="n"/>
      <c r="CQ71" s="12" t="n"/>
      <c r="CR71" s="12" t="n"/>
      <c r="CS71" s="12" t="n"/>
    </row>
    <row r="72">
      <c r="A72" s="10" t="n">
        <v>71</v>
      </c>
      <c r="B72" s="10" t="inlineStr">
        <is>
          <t>Estatal: creación legal no confirmada operativa</t>
        </is>
      </c>
      <c r="C72" s="10" t="inlineStr">
        <is>
          <t>Estado</t>
        </is>
      </c>
      <c r="D72" s="10" t="inlineStr">
        <is>
          <t>Zapatero</t>
        </is>
      </c>
      <c r="E72" s="10" t="inlineStr">
        <is>
          <t>Comisión Nacional del Juego</t>
        </is>
      </c>
      <c r="F72" s="10" t="inlineStr">
        <is>
          <t>Creación legal; distinguir puesta en funcionamiento</t>
        </is>
      </c>
      <c r="G72" s="10" t="inlineStr">
        <is>
          <t>2011-05-27</t>
        </is>
      </c>
      <c r="H72" s="10" t="inlineStr">
        <is>
          <t>Ley13/2011, art.20</t>
        </is>
      </c>
      <c r="I72" s="10" t="inlineStr">
        <is>
          <t>Autorizar, supervisar, controlar y sancionar juego estatal.</t>
        </is>
      </c>
      <c r="J72" s="10" t="inlineStr">
        <is>
          <t>Creación jurídica expresa, pero constitución efectiva no demostrada aquí. La Ley3/2013 devuelve funciones a DGOJ: no deducir que desapareció regulación del juego.</t>
        </is>
      </c>
      <c r="K72" s="11" t="n"/>
      <c r="L72" s="10" t="n"/>
      <c r="M72" s="10" t="n"/>
      <c r="N72" s="10" t="n"/>
      <c r="O72" s="10" t="inlineStr">
        <is>
          <t>Sin presupuesto propio actual: supresión/extinción; no cuantificar sustituto</t>
        </is>
      </c>
      <c r="P72" s="12" t="n"/>
      <c r="Q72" s="12" t="n"/>
      <c r="R72" s="10" t="inlineStr">
        <is>
          <t>Sin presupuesto propio actual tras extinción. No se atribuye el presupuesto de CNMC o ministerio sucesor.</t>
        </is>
      </c>
      <c r="S72" s="10" t="inlineStr">
        <is>
          <t>Actualidad2026; extinción2013</t>
        </is>
      </c>
      <c r="T72" s="10" t="inlineStr">
        <is>
          <t>Ley3/2013 DA2 incluye su extinción con constitución de CNMC</t>
        </is>
      </c>
      <c r="U72" s="10" t="inlineStr">
        <is>
          <t>Artículo sectorial contemporáneo sostiene que murió sin nacer; se etiqueta secundaria, no confirmación oficial completa. No confundir con Comisión colegiada antigua del Ministerio del Interior.</t>
        </is>
      </c>
      <c r="V72" s="10" t="inlineStr">
        <is>
          <t>Reordenación legal; no equivalencia de mandato</t>
        </is>
      </c>
      <c r="W72" s="10" t="inlineStr">
        <is>
          <t>24</t>
        </is>
      </c>
      <c r="X72" s="10" t="inlineStr">
        <is>
          <t>Ley 3/2013 prevé extinción de Comisión del Juego. No se atribuye su función de juego a CNMC por esa sola cláusula.</t>
        </is>
      </c>
      <c r="Y72"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https://www.boe.es/eli/es/l/2011/05/27/13
https://www.azarplus.com/comision-nacional-del-juego-r-i-p/</t>
        </is>
      </c>
      <c r="Z72" s="10" t="inlineStr">
        <is>
          <t>https://www.boe.es/eli/es/l/2011/05/27/13
https://www.boe.es/diario_boe/txt.php?id=BOE-A-2013-5940
https://www.azarplus.com/comision-nacional-del-juego-r-i-p/</t>
        </is>
      </c>
      <c r="AA72" s="12" t="n"/>
      <c r="AB72" s="10" t="n"/>
      <c r="AC72" s="10" t="n"/>
      <c r="AD72" s="10" t="n"/>
      <c r="AE72" s="13" t="inlineStr">
        <is>
          <t>https://files.instinct.com/q91pr53q4umo-entidades-publicas-poder-y-presupuesto</t>
        </is>
      </c>
      <c r="AF72" s="10" t="inlineStr">
        <is>
          <t>12/10/2026</t>
        </is>
      </c>
      <c r="AG72" s="10" t="n"/>
      <c r="AH72" s="10" t="n"/>
      <c r="AI72" s="10" t="inlineStr">
        <is>
          <t>Personas realmente ocupadas; no equiparar vocales, puestos RPT o apoyo ministerial con plantilla</t>
        </is>
      </c>
      <c r="AJ72" s="10" t="inlineStr">
        <is>
          <t>Pendiente: sin cifra de personal ocupado verificada en el conjunto actual</t>
        </is>
      </c>
      <c r="AK72" s="10" t="n"/>
      <c r="AL72" s="12" t="n"/>
      <c r="AM72" s="10" t="n"/>
      <c r="AN72" s="10" t="n"/>
      <c r="AO72" s="10" t="inlineStr">
        <is>
          <t>Pendiente: sin coste de personal individual verificado en el conjunto actual</t>
        </is>
      </c>
      <c r="AP72" s="10" t="n"/>
      <c r="AQ72" s="12" t="n"/>
      <c r="AR72" s="10" t="n"/>
      <c r="AS72" s="10" t="n"/>
      <c r="AT72" s="10" t="n"/>
      <c r="AU72" s="10" t="n"/>
      <c r="AV72" s="10" t="inlineStr">
        <is>
          <t>Pendiente: no se ha verificado gasto salarial ejecutado individual en esta versión</t>
        </is>
      </c>
      <c r="AW72" s="10" t="inlineStr">
        <is>
          <t>SIN CIFRA INDIVIDUAL VERIFICADA de presupuesto, personal ocupado y salarios ejecutados; investigación pendiente, no prueba de falta de publicación</t>
        </is>
      </c>
      <c r="AX72" s="14" t="n"/>
      <c r="AY72" s="14" t="n"/>
      <c r="AZ72" s="14" t="n"/>
      <c r="BA72" s="14" t="n"/>
      <c r="BB72" s="14" t="n"/>
      <c r="BC72" s="10" t="inlineStr">
        <is>
          <t>Revisado: ComisiónJuego histórica</t>
        </is>
      </c>
      <c r="BD72" s="10" t="inlineStr">
        <is>
          <t>Informe preceptivo autorización loterías reservadas (art21.3), no cláusula de informe previo general sobre leyes.</t>
        </is>
      </c>
      <c r="BE72" s="10" t="inlineStr">
        <is>
          <t>No se exige consentimiento favorable ni carácter vinculante del informe en la cláusula citada; no es veto.</t>
        </is>
      </c>
      <c r="BF72" s="10" t="inlineStr">
        <is>
          <t>Título/autorización de juego y regulación técnica son distintos de veto a ley. Constitución operativa no confirmada.</t>
        </is>
      </c>
      <c r="BG72" s="10" t="inlineStr">
        <is>
          <t>Ley13/2011 original art21.1,3,4</t>
        </is>
      </c>
      <c r="BH72" s="10" t="inlineStr">
        <is>
          <t>https://www.boe.es/diario_boe/txt.php?id=BOE-A-2011-9280</t>
        </is>
      </c>
      <c r="BI72" s="12" t="n"/>
      <c r="BJ72" s="12" t="n"/>
      <c r="BK72" s="12" t="n"/>
      <c r="BL72" s="12" t="n"/>
      <c r="BM72" s="10" t="n"/>
      <c r="BN72" s="10" t="n"/>
      <c r="BO72" s="12" t="n"/>
      <c r="BP72" s="12" t="n"/>
      <c r="BQ72" s="12" t="n"/>
      <c r="BR72" s="12" t="n"/>
      <c r="BS72" s="12" t="n"/>
      <c r="BT72" s="12" t="n"/>
      <c r="BU72" s="12" t="n"/>
      <c r="BV72" s="27" t="inlineStr">
        <is>
          <t>Extinguida</t>
        </is>
      </c>
      <c r="BW72" s="27" t="inlineStr">
        <is>
          <t>Extinguida</t>
        </is>
      </c>
      <c r="BX72" s="27" t="inlineStr">
        <is>
          <t>Extinguida o no constituida</t>
        </is>
      </c>
      <c r="BY72" s="12" t="n"/>
      <c r="BZ72" s="27" t="inlineStr">
        <is>
          <t>No</t>
        </is>
      </c>
      <c r="CA72" s="27" t="inlineStr">
        <is>
          <t>No aplica (no vigente)</t>
        </is>
      </c>
      <c r="CB72" s="27" t="inlineStr">
        <is>
          <t>Creada por ley, constitución no demostrada; extinguida en 2013 (funciones a la DGOJ).</t>
        </is>
      </c>
      <c r="CC72" s="12" t="n"/>
      <c r="CD72" s="12" t="n"/>
      <c r="CE72" s="27" t="inlineStr">
        <is>
          <t>Juego</t>
        </is>
      </c>
      <c r="CF72" s="12" t="n"/>
      <c r="CG72" s="12" t="n"/>
      <c r="CH72" s="29">
        <f>IF(AND(ISNUMBER(BP72),ISNUMBER(AG72),AG72&gt;0),BP72*1000000/AG72,"")</f>
        <v/>
      </c>
      <c r="CI72" s="12" t="n"/>
      <c r="CJ72" s="12" t="n"/>
      <c r="CK72" s="12" t="n"/>
      <c r="CL72" s="12" t="n"/>
      <c r="CM72" s="12" t="n"/>
      <c r="CN72" s="12" t="n"/>
      <c r="CO72" s="12" t="n"/>
      <c r="CP72" s="12" t="n"/>
      <c r="CQ72" s="12" t="n"/>
      <c r="CR72" s="12" t="n"/>
      <c r="CS72" s="12" t="n"/>
    </row>
    <row r="73">
      <c r="A73" s="10" t="n">
        <v>72</v>
      </c>
      <c r="B73" s="10" t="inlineStr">
        <is>
          <t>Estatal: creación legal no confirmada operativa</t>
        </is>
      </c>
      <c r="C73" s="10" t="inlineStr">
        <is>
          <t>Estado</t>
        </is>
      </c>
      <c r="D73" s="10" t="inlineStr">
        <is>
          <t>Zapatero</t>
        </is>
      </c>
      <c r="E73" s="10" t="inlineStr">
        <is>
          <t>Comisión de Regulación Económica Aeroportuaria (CREA)</t>
        </is>
      </c>
      <c r="F73" s="10" t="inlineStr">
        <is>
          <t>Creación legal; distinguir puesta en funcionamiento</t>
        </is>
      </c>
      <c r="G73" s="10" t="inlineStr">
        <is>
          <t>2011-08-26</t>
        </is>
      </c>
      <c r="H73" s="10" t="inlineStr">
        <is>
          <t>RDL11/2011, art.1</t>
        </is>
      </c>
      <c r="I73" s="10" t="inlineStr">
        <is>
          <t>Controlar objetividad, no discriminación, eficiencia y transparencia de tarifas aeroportuarias.</t>
        </is>
      </c>
      <c r="J73" s="10" t="inlineStr">
        <is>
          <t>Potestad regulatoria legal, no solo asesoramiento; ejercicio efectivo y constitución no verificados.</t>
        </is>
      </c>
      <c r="K73" s="11" t="n"/>
      <c r="L73" s="10" t="n"/>
      <c r="M73" s="10" t="n"/>
      <c r="N73" s="10" t="n"/>
      <c r="O73" s="10" t="inlineStr">
        <is>
          <t>Sin presupuesto propio actual: supresión/extinción; no cuantificar sustituto</t>
        </is>
      </c>
      <c r="P73" s="12" t="n"/>
      <c r="Q73" s="12" t="n"/>
      <c r="R73" s="10" t="inlineStr">
        <is>
          <t>Sin presupuesto propio actual tras extinción. No se atribuye el presupuesto de CNMC o ministerio sucesor.</t>
        </is>
      </c>
      <c r="S73" s="10" t="inlineStr">
        <is>
          <t>Actualidad2026; extinción2013</t>
        </is>
      </c>
      <c r="T73" s="10" t="inlineStr">
        <is>
          <t>Ley3/2013 DA2 incluye su extinción con constitución de CNMC</t>
        </is>
      </c>
      <c r="U73" s="10" t="inlineStr">
        <is>
          <t>Historia CNMC cita2011, sin acta/nombramientos verificados. Extinción por Ley3/2013 no prueba inactividad anterior.</t>
        </is>
      </c>
      <c r="V73" s="10" t="inlineStr">
        <is>
          <t>Reordenación legal; constitución previa no confirmada</t>
        </is>
      </c>
      <c r="W73" s="10" t="inlineStr">
        <is>
          <t>24, 70</t>
        </is>
      </c>
      <c r="X73" s="10" t="inlineStr">
        <is>
          <t>Ley 3/2013 prevé extinción con CNMC; no se ha confirmado por completo la constitución operativa previa. CEMA conserva conflicto entre fuentes.</t>
        </is>
      </c>
      <c r="Y73"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https://www.boe.es/eli/es/l/2010/03/31/7
https://www.boe.es/diario_boe/txt.php?id=BOE-A-2011-9735
https://www.cnmc.es/somos-cnmc/sobre-nosotros/que-es-la-cnmc
https://www.boe.es/eli/es/rdl/2011/08/26/11</t>
        </is>
      </c>
      <c r="Z73" s="10" t="inlineStr">
        <is>
          <t>https://www.boe.es/eli/es/rdl/2011/08/26/11
https://www.boe.es/diario_boe/txt.php?id=BOE-A-2013-5940
https://www.cnmc.es/somos-cnmc/sobre-nosotros/que-es-la-cnmc</t>
        </is>
      </c>
      <c r="AA73" s="12" t="n"/>
      <c r="AB73" s="10" t="n"/>
      <c r="AC73" s="10" t="n"/>
      <c r="AD73" s="10" t="n"/>
      <c r="AE73" s="13" t="inlineStr">
        <is>
          <t>https://files.instinct.com/q91pr53q4umo-entidades-publicas-poder-y-presupuesto</t>
        </is>
      </c>
      <c r="AF73" s="10" t="inlineStr">
        <is>
          <t>12/10/2026</t>
        </is>
      </c>
      <c r="AG73" s="10" t="n"/>
      <c r="AH73" s="10" t="n"/>
      <c r="AI73" s="10" t="inlineStr">
        <is>
          <t>Personas realmente ocupadas; no equiparar vocales, puestos RPT o apoyo ministerial con plantilla</t>
        </is>
      </c>
      <c r="AJ73" s="10" t="inlineStr">
        <is>
          <t>Pendiente: sin cifra de personal ocupado verificada en el conjunto actual</t>
        </is>
      </c>
      <c r="AK73" s="10" t="n"/>
      <c r="AL73" s="12" t="n"/>
      <c r="AM73" s="10" t="n"/>
      <c r="AN73" s="10" t="n"/>
      <c r="AO73" s="10" t="inlineStr">
        <is>
          <t>Pendiente: sin coste de personal individual verificado en el conjunto actual</t>
        </is>
      </c>
      <c r="AP73" s="10" t="n"/>
      <c r="AQ73" s="12" t="n"/>
      <c r="AR73" s="10" t="n"/>
      <c r="AS73" s="10" t="n"/>
      <c r="AT73" s="10" t="n"/>
      <c r="AU73" s="10" t="n"/>
      <c r="AV73" s="10" t="inlineStr">
        <is>
          <t>Pendiente: no se ha verificado gasto salarial ejecutado individual en esta versión</t>
        </is>
      </c>
      <c r="AW73" s="10" t="inlineStr">
        <is>
          <t>SIN CIFRA INDIVIDUAL VERIFICADA de presupuesto, personal ocupado y salarios ejecutados; investigación pendiente, no prueba de falta de publicación</t>
        </is>
      </c>
      <c r="AX73" s="14" t="n"/>
      <c r="AY73" s="14" t="n"/>
      <c r="AZ73" s="14" t="n"/>
      <c r="BA73" s="14" t="n"/>
      <c r="BB73" s="14" t="n"/>
      <c r="BC73" s="10" t="inlineStr">
        <is>
          <t>Revisado: CREA histórico, supervisión prelegislativa tarifaria</t>
        </is>
      </c>
      <c r="BD73" s="10" t="inlineStr">
        <is>
          <t>Verifica y remite propuesta Aena para incorporarla a anteproyecto de ley tarifaria; no consulta general de todas las leyes.</t>
        </is>
      </c>
      <c r="BE73" s="10" t="inlineStr">
        <is>
          <t>Puede inadmitir propuestaAena o revisarla; NO consentimiento favorable para que Parlamento apruebe ley.</t>
        </is>
      </c>
      <c r="BF73" s="10" t="inlineStr">
        <is>
          <t>Filtro/revisión de propuesta administrativa previa a ley (arts11-12), no veto legislativo. Constitución operativa no confirmada.</t>
        </is>
      </c>
      <c r="BG73" s="10" t="inlineStr">
        <is>
          <t>RDL11/2011 arts10,11.1a,12</t>
        </is>
      </c>
      <c r="BH73" s="10" t="inlineStr">
        <is>
          <t>https://www.boe.es/diario_boe/txt.php?id=BOE-A-2011-14221</t>
        </is>
      </c>
      <c r="BI73" s="12" t="n"/>
      <c r="BJ73" s="12" t="n"/>
      <c r="BK73" s="12" t="n"/>
      <c r="BL73" s="12" t="n"/>
      <c r="BM73" s="10" t="n"/>
      <c r="BN73" s="10" t="n"/>
      <c r="BO73" s="12" t="n"/>
      <c r="BP73" s="12" t="n"/>
      <c r="BQ73" s="12" t="n"/>
      <c r="BR73" s="12" t="n"/>
      <c r="BS73" s="12" t="n"/>
      <c r="BT73" s="12" t="n"/>
      <c r="BU73" s="12" t="n"/>
      <c r="BV73" s="27" t="inlineStr">
        <is>
          <t>Extinguida</t>
        </is>
      </c>
      <c r="BW73" s="27" t="inlineStr">
        <is>
          <t>Extinguida</t>
        </is>
      </c>
      <c r="BX73" s="27" t="inlineStr">
        <is>
          <t>Extinguida o no constituida</t>
        </is>
      </c>
      <c r="BY73" s="12" t="n"/>
      <c r="BZ73" s="27" t="inlineStr">
        <is>
          <t>No</t>
        </is>
      </c>
      <c r="CA73" s="27" t="inlineStr">
        <is>
          <t>No aplica (no vigente)</t>
        </is>
      </c>
      <c r="CB73" s="27" t="inlineStr">
        <is>
          <t>Creada por ley, constitución no demostrada; extinguida en 2013 (CNMC).</t>
        </is>
      </c>
      <c r="CC73" s="12" t="n"/>
      <c r="CD73" s="12" t="n"/>
      <c r="CE73" s="27" t="inlineStr">
        <is>
          <t>Tarifas aeroportuarias</t>
        </is>
      </c>
      <c r="CF73" s="12" t="n"/>
      <c r="CG73" s="12" t="n"/>
      <c r="CH73" s="29">
        <f>IF(AND(ISNUMBER(BP73),ISNUMBER(AG73),AG73&gt;0),BP73*1000000/AG73,"")</f>
        <v/>
      </c>
      <c r="CI73" s="12" t="n"/>
      <c r="CJ73" s="12" t="n"/>
      <c r="CK73" s="12" t="n"/>
      <c r="CL73" s="12" t="n"/>
      <c r="CM73" s="12" t="n"/>
      <c r="CN73" s="12" t="n"/>
      <c r="CO73" s="12" t="n"/>
      <c r="CP73" s="12" t="n"/>
      <c r="CQ73" s="12" t="n"/>
      <c r="CR73" s="12" t="n"/>
      <c r="CS73" s="12" t="n"/>
    </row>
    <row r="74">
      <c r="A74" s="10" t="n">
        <v>73</v>
      </c>
      <c r="B74" s="10" t="inlineStr">
        <is>
          <t>Autonómico</t>
        </is>
      </c>
      <c r="C74" s="10" t="inlineStr">
        <is>
          <t>Andalucía</t>
        </is>
      </c>
      <c r="D74" s="10" t="inlineStr">
        <is>
          <t>Periodo Zapatero</t>
        </is>
      </c>
      <c r="E74" s="10" t="inlineStr">
        <is>
          <t>Agencia Andaluza de Cooperación Internacional para el Desarrollo (AACID)</t>
        </is>
      </c>
      <c r="F74" s="10" t="inlineStr">
        <is>
          <t>Nueva entidad de derecho público que sustituye centro directivo creado en 2004</t>
        </is>
      </c>
      <c r="G74" s="10" t="inlineStr">
        <is>
          <t>2006-05-16</t>
        </is>
      </c>
      <c r="H74" s="10" t="inlineStr">
        <is>
          <t>Ley 2/2006</t>
        </is>
      </c>
      <c r="I74" s="10" t="inlineStr">
        <is>
          <t>Gestionar cooperación, subvenciones y programas internacionales.</t>
        </is>
      </c>
      <c r="J74" s="10" t="inlineStr">
        <is>
          <t>Poder de gestión y financiación real; no mera consulta.</t>
        </is>
      </c>
      <c r="K74" s="11" t="n">
        <v>20.513203</v>
      </c>
      <c r="L74" s="10" t="n">
        <v>2026</v>
      </c>
      <c r="M74" s="10" t="inlineStr">
        <is>
          <t>Presupuesto propio aprobado</t>
        </is>
      </c>
      <c r="N74" s="10" t="inlineStr">
        <is>
          <t>2026, crédito aprobado</t>
        </is>
      </c>
      <c r="O74" s="10" t="inlineStr">
        <is>
          <t>Cifra propia verificada</t>
        </is>
      </c>
      <c r="P74" s="12" t="n">
        <v>20.513203</v>
      </c>
      <c r="Q74" s="12" t="n"/>
      <c r="R74" s="10" t="inlineStr">
        <is>
          <t>Presupuesto propio 2026: 20.513.203 EUR. Estado de ingresos y gastos; incluye ayudas y programas, no solo administración.</t>
        </is>
      </c>
      <c r="S74" s="10" t="inlineStr">
        <is>
          <t>2026, salvo indicación distinta; créditos iniciales salvo mención expresa</t>
        </is>
      </c>
      <c r="T74" s="10" t="inlineStr">
        <is>
          <t>Entidad presupuestada en 2026</t>
        </is>
      </c>
      <c r="U74" s="10" t="inlineStr">
        <is>
          <t>Juicio basado en mandato y evidencia citada, no en una auditoría de eficacia, personal ocupado o independencia práctica.</t>
        </is>
      </c>
      <c r="V74" s="10" t="inlineStr">
        <is>
          <t>Mandato paralelo en distinto nivel territorial</t>
        </is>
      </c>
      <c r="W74" s="10" t="inlineStr">
        <is>
          <t>31</t>
        </is>
      </c>
      <c r="X74" s="10" t="inlineStr">
        <is>
          <t>Cooperación y ayudas internacionales estatal y andaluza. La coincidencia de mandato no prueba duplicación de proyectos o gasto.</t>
        </is>
      </c>
      <c r="Y74" s="10" t="inlineStr">
        <is>
          <t>https://www.boe.es/eli/es/rd/2007/10/26/1403/con
https://www.igae.pap.hacienda.gob.es/sitios/igae/es-ES/Contabilidad/ContabilidadPublica/CPE/EjecucionPresupuestaria/Documents/ORGANISMOS%2008.%202026.pdf
https://www.juntadeandalucia.es/boja/2006/98/d2.pdf
https://www.juntadeandalucia.es/export/presup2026/estado/programas/estadoIII-d-9.pdf</t>
        </is>
      </c>
      <c r="Z74" s="10" t="inlineStr">
        <is>
          <t>https://www.juntadeandalucia.es/boja/2006/98/d2.pdf
https://www.juntadeandalucia.es/export/presup2026/estado/programas/estadoIII-d-9.pdf</t>
        </is>
      </c>
      <c r="AA74" s="12" t="n"/>
      <c r="AB74" s="10" t="n"/>
      <c r="AC74" s="10" t="n"/>
      <c r="AD74" s="10" t="n"/>
      <c r="AE74" s="13" t="inlineStr">
        <is>
          <t>https://files.instinct.com/q91pr53q4umo-entidades-publicas-poder-y-presupuesto</t>
        </is>
      </c>
      <c r="AF74" s="10" t="inlineStr">
        <is>
          <t>12/10/2026</t>
        </is>
      </c>
      <c r="AG74" s="10" t="n"/>
      <c r="AH74" s="10" t="n"/>
      <c r="AI74" s="10" t="inlineStr">
        <is>
          <t>Personas realmente ocupadas; no equiparar vocales, puestos RPT o apoyo ministerial con plantilla</t>
        </is>
      </c>
      <c r="AJ74" s="10" t="inlineStr">
        <is>
          <t>Pendiente: sin cifra de personal ocupado verificada en el conjunto actual</t>
        </is>
      </c>
      <c r="AK74" s="10" t="n"/>
      <c r="AL74" s="12" t="n"/>
      <c r="AM74" s="10" t="n"/>
      <c r="AN74" s="10" t="n"/>
      <c r="AO74" s="10" t="inlineStr">
        <is>
          <t>Pendiente: sin coste de personal individual verificado en el conjunto actual</t>
        </is>
      </c>
      <c r="AP74" s="10" t="n"/>
      <c r="AQ74" s="12" t="n"/>
      <c r="AR74" s="10" t="n"/>
      <c r="AS74" s="10" t="n"/>
      <c r="AT74" s="10" t="n"/>
      <c r="AU74" s="10" t="n"/>
      <c r="AV74" s="10" t="inlineStr">
        <is>
          <t>Pendiente: no se ha verificado gasto salarial ejecutado individual en esta versión</t>
        </is>
      </c>
      <c r="AW74" s="10" t="inlineStr">
        <is>
          <t>Presupuesto propio verificado; personal y salarios ejecutados pendientes</t>
        </is>
      </c>
      <c r="AX74" s="14" t="n"/>
      <c r="AY74" s="14" t="n"/>
      <c r="AZ74" s="14" t="n"/>
      <c r="BA74" s="14" t="n"/>
      <c r="BB74" s="14" t="n"/>
      <c r="BC74" s="10" t="inlineStr">
        <is>
          <t>Revisado: AACID asesoramiento</t>
        </is>
      </c>
      <c r="BD74" s="10" t="inlineStr">
        <is>
          <t>Asesora ConsejoGobierno, colabora PlanAndaluzCooperación e informes evaluación; no permiso normativo general en leycreación.</t>
        </is>
      </c>
      <c r="BE74" s="10" t="inlineStr">
        <is>
          <t>No veto parlamentario ni consentimiento favorable general establecido en las cláusulas revisadas.</t>
        </is>
      </c>
      <c r="BF74" s="10" t="inlineStr">
        <is>
          <t>Alcance limitado a norma y atribuciones citadas; no descarta reglas sectoriales adicionales.</t>
        </is>
      </c>
      <c r="BG74" s="10" t="inlineStr">
        <is>
          <t>Ley2/2006 art5</t>
        </is>
      </c>
      <c r="BH74" s="10" t="inlineStr">
        <is>
          <t>https://www.juntadeandalucia.es/boja/2006/98/2</t>
        </is>
      </c>
      <c r="BI74" s="12" t="n"/>
      <c r="BJ74" s="12" t="n"/>
      <c r="BK74" s="12" t="n"/>
      <c r="BL74" s="12" t="n"/>
      <c r="BM74" s="10" t="n"/>
      <c r="BN74" s="10" t="n"/>
      <c r="BO74" s="12" t="n"/>
      <c r="BP74" s="12" t="n"/>
      <c r="BQ74" s="12" t="n"/>
      <c r="BR74" s="12" t="n"/>
      <c r="BS74" s="12" t="n"/>
      <c r="BT74" s="12" t="n"/>
      <c r="BU74" s="12" t="n"/>
      <c r="BV74" s="27" t="inlineStr">
        <is>
          <t>No útil</t>
        </is>
      </c>
      <c r="BW74" s="27" t="inlineStr">
        <is>
          <t>Suprimir</t>
        </is>
      </c>
      <c r="BX74" s="27" t="inlineStr">
        <is>
          <t>Financiación y ayudas</t>
        </is>
      </c>
      <c r="BY74" s="27" t="inlineStr">
        <is>
          <t>Paralelo a AECID: cada nivel actúa con sus propios fondos o competencias. 6 organismos sobre este tema entre el Estado y las CCAA (verificados).</t>
        </is>
      </c>
      <c r="BZ74" s="27" t="inlineStr">
        <is>
          <t>No</t>
        </is>
      </c>
      <c r="CA74" s="27" t="inlineStr">
        <is>
          <t>Acreditada</t>
        </is>
      </c>
      <c r="CB74" s="27" t="inlineStr">
        <is>
          <t>Cooperación autonómica al desarrollo: el P100 concentra la cooperación en el Estado y en países que colaboren en el control migratorio; una agencia autonómica no sirve a ese fin.</t>
        </is>
      </c>
      <c r="CC74" s="27" t="inlineStr">
        <is>
          <t>Explícito en el P100: Costes del Estado 5 y criterio Extramuros del 12/10/2026</t>
        </is>
      </c>
      <c r="CD74" s="12" t="n"/>
      <c r="CE74" s="27" t="inlineStr">
        <is>
          <t>Agencias de cooperación al desarrollo</t>
        </is>
      </c>
      <c r="CF74" s="28" t="n">
        <v>6</v>
      </c>
      <c r="CG74" s="12" t="n"/>
      <c r="CH74" s="29">
        <f>IF(AND(ISNUMBER(BP74),ISNUMBER(AG74),AG74&gt;0),BP74*1000000/AG74,"")</f>
        <v/>
      </c>
      <c r="CI74" s="12" t="n"/>
      <c r="CJ74" s="12" t="n"/>
      <c r="CK74" s="12" t="n"/>
      <c r="CL74" s="12" t="n"/>
      <c r="CM74" s="12" t="n"/>
      <c r="CN74" s="12" t="n"/>
      <c r="CO74" s="12" t="n"/>
      <c r="CP74" s="12" t="n"/>
      <c r="CQ74" s="12" t="n"/>
      <c r="CR74" s="12" t="n"/>
      <c r="CS74" s="12" t="n"/>
    </row>
    <row r="75">
      <c r="A75" s="10" t="n">
        <v>74</v>
      </c>
      <c r="B75" s="10" t="inlineStr">
        <is>
          <t>Autonómico</t>
        </is>
      </c>
      <c r="C75" s="10" t="inlineStr">
        <is>
          <t>Andalucía</t>
        </is>
      </c>
      <c r="D75" s="10" t="inlineStr">
        <is>
          <t>Periodo Zapatero</t>
        </is>
      </c>
      <c r="E75" s="10" t="inlineStr">
        <is>
          <t>Agencia de Defensa de la Competencia de Andalucía</t>
        </is>
      </c>
      <c r="F75" s="10" t="inlineStr">
        <is>
          <t>Nueva entidad; denominación y funciones ampliadas después</t>
        </is>
      </c>
      <c r="G75" s="10" t="inlineStr">
        <is>
          <t>2007-06-26</t>
        </is>
      </c>
      <c r="H75" s="10" t="inlineStr">
        <is>
          <t>Ley 6/2007</t>
        </is>
      </c>
      <c r="I75" s="10" t="inlineStr">
        <is>
          <t>Defensa y promoción de competencia dentro del ámbito autonómico.</t>
        </is>
      </c>
      <c r="J75" s="10" t="inlineStr">
        <is>
          <t>Potestades ejecutivas y sancionadoras en su ámbito; no un observatorio. No confundir con CNMC.</t>
        </is>
      </c>
      <c r="K75" s="11" t="n"/>
      <c r="L75" s="10" t="n"/>
      <c r="M75" s="10" t="n"/>
      <c r="N75" s="10" t="n"/>
      <c r="O75" s="10" t="inlineStr">
        <is>
          <t>Sin cifra propia actual verificada</t>
        </is>
      </c>
      <c r="P75" s="12" t="n"/>
      <c r="Q75" s="12" t="n"/>
      <c r="R75" s="10" t="inlineStr">
        <is>
          <t>No se ha verificado una dotación propia actual. No equivale a cero EUR ni se le atribuye el presupuesto de la consejería.</t>
        </is>
      </c>
      <c r="S75" s="10" t="inlineStr">
        <is>
          <t>2026, salvo indicación distinta; créditos iniciales salvo mención expresa</t>
        </is>
      </c>
      <c r="T75" s="10" t="inlineStr">
        <is>
          <t>La norma consolidada mantiene entidad con funciones/denominación ampliadas</t>
        </is>
      </c>
      <c r="U75" s="10" t="inlineStr">
        <is>
          <t>Juicio basado en mandato y evidencia citada, no en una auditoría de eficacia, personal ocupado o independencia práctica.</t>
        </is>
      </c>
      <c r="V75" s="10" t="inlineStr">
        <is>
          <t>Mandato paralelo en distinto nivel territorial</t>
        </is>
      </c>
      <c r="W75" s="10" t="inlineStr">
        <is>
          <t>24, 93</t>
        </is>
      </c>
      <c r="X75" s="10" t="inlineStr">
        <is>
          <t>Competencia estatal y autonómica. Facultades territoriales distintas; no prueba de expedientes o gasto duplicados.</t>
        </is>
      </c>
      <c r="Y75"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https://www.boe.es/buscar/act.php?id=BOE-A-2007-14406
https://www.boe.es/buscar/act.php?id=BOE-A-2012-2313
https://www.euskadi.eus/web01-a3ogaoce/es/contenidos/informacion/ejec_pres_avc_2026/es_def/adjuntos/211_2026_7_DETALLESPORPARTIDAS-GASTOSEINGRESOS_es.pdf</t>
        </is>
      </c>
      <c r="Z75" s="10" t="inlineStr">
        <is>
          <t>https://www.boe.es/buscar/act.php?id=BOE-A-2007-14406</t>
        </is>
      </c>
      <c r="AA75" s="12" t="n"/>
      <c r="AB75" s="10" t="n"/>
      <c r="AC75" s="10" t="n"/>
      <c r="AD75" s="10" t="n"/>
      <c r="AE75" s="13" t="inlineStr">
        <is>
          <t>https://files.instinct.com/q91pr53q4umo-entidades-publicas-poder-y-presupuesto</t>
        </is>
      </c>
      <c r="AF75" s="10" t="inlineStr">
        <is>
          <t>12/10/2026</t>
        </is>
      </c>
      <c r="AG75" s="10" t="n"/>
      <c r="AH75" s="10" t="n"/>
      <c r="AI75" s="10" t="inlineStr">
        <is>
          <t>Personas realmente ocupadas; no equiparar vocales, puestos RPT o apoyo ministerial con plantilla</t>
        </is>
      </c>
      <c r="AJ75" s="10" t="inlineStr">
        <is>
          <t>Pendiente: sin cifra de personal ocupado verificada en el conjunto actual</t>
        </is>
      </c>
      <c r="AK75" s="10" t="n"/>
      <c r="AL75" s="12" t="n"/>
      <c r="AM75" s="10" t="n"/>
      <c r="AN75" s="10" t="n"/>
      <c r="AO75" s="10" t="inlineStr">
        <is>
          <t>Pendiente: sin coste de personal individual verificado en el conjunto actual</t>
        </is>
      </c>
      <c r="AP75" s="10" t="n"/>
      <c r="AQ75" s="12" t="n"/>
      <c r="AR75" s="10" t="n"/>
      <c r="AS75" s="10" t="n"/>
      <c r="AT75" s="10" t="n"/>
      <c r="AU75" s="10" t="n"/>
      <c r="AV75" s="10" t="inlineStr">
        <is>
          <t>Pendiente: no se ha verificado gasto salarial ejecutado individual en esta versión</t>
        </is>
      </c>
      <c r="AW75" s="10" t="inlineStr">
        <is>
          <t>SIN CIFRA INDIVIDUAL VERIFICADA de presupuesto, personal ocupado y salarios ejecutados; investigación pendiente, no prueba de falta de publicación</t>
        </is>
      </c>
      <c r="AX75" s="14" t="n"/>
      <c r="AY75" s="14" t="n"/>
      <c r="AZ75" s="14" t="n"/>
      <c r="BA75" s="14" t="n"/>
      <c r="BB75" s="14" t="n"/>
      <c r="BC75" s="10" t="inlineStr">
        <is>
          <t>Revisado: ADCA actual consulta normativa</t>
        </is>
      </c>
      <c r="BD75" s="10" t="inlineStr">
        <is>
          <t>Art3h,i: informes sobre reforma leypropia y normas económicas/competencia/unidadmercado. Órgano redactor debe remitir documentación; plazo1mes.</t>
        </is>
      </c>
      <c r="BE75" s="10" t="inlineStr">
        <is>
          <t>No se exige consentimiento favorable ni carácter vinculante del informe en la cláusula citada; no es veto.</t>
        </is>
      </c>
      <c r="BF75" s="10" t="inlineStr">
        <is>
          <t>Trámite previo en ámbito específico. Omitirlo puede generar cuestión procedimental, no veto parlamentario automático; efecto exacto requiere analizar procedimiento.</t>
        </is>
      </c>
      <c r="BG75" s="10" t="inlineStr">
        <is>
          <t>Ley6/2007 art3h,i consolidado</t>
        </is>
      </c>
      <c r="BH75" s="10" t="inlineStr">
        <is>
          <t>https://www.boe.es/buscar/act.php?id=BOE-A-2007-14406</t>
        </is>
      </c>
      <c r="BI75" s="12" t="n"/>
      <c r="BJ75" s="12" t="n"/>
      <c r="BK75" s="12" t="n"/>
      <c r="BL75" s="12" t="n"/>
      <c r="BM75" s="10" t="n"/>
      <c r="BN75" s="10" t="n"/>
      <c r="BO75" s="12" t="n"/>
      <c r="BP75" s="12" t="n"/>
      <c r="BQ75" s="12" t="n"/>
      <c r="BR75" s="12" t="n"/>
      <c r="BS75" s="12" t="n"/>
      <c r="BT75" s="12" t="n"/>
      <c r="BU75" s="12" t="n"/>
      <c r="BV75" s="27" t="inlineStr">
        <is>
          <t>No útil</t>
        </is>
      </c>
      <c r="BW75" s="27" t="inlineStr">
        <is>
          <t>Integrar</t>
        </is>
      </c>
      <c r="BX75" s="27" t="inlineStr">
        <is>
          <t>Regulación o inspección de terceros</t>
        </is>
      </c>
      <c r="BY75" s="27" t="inlineStr">
        <is>
          <t>Duplica a CNMC, que ya cubre este territorio o puede hacerlo. 10 organismos sobre este tema entre el Estado y las CCAA (verificados).</t>
        </is>
      </c>
      <c r="BZ75" s="27" t="inlineStr">
        <is>
          <t>No</t>
        </is>
      </c>
      <c r="CA75" s="27" t="inlineStr">
        <is>
          <t>Parcial</t>
        </is>
      </c>
      <c r="CB75" s="27" t="inlineStr">
        <is>
          <t>Autoridad autonómica de competencia; la CNMC ya actúa en todo el territorio.</t>
        </is>
      </c>
      <c r="CC75" s="27" t="inlineStr">
        <is>
          <t>Aplicando el criterio del P100: Criterio Extramuros del 12/10/2026 («con una nacional basta»)</t>
        </is>
      </c>
      <c r="CD75" s="27" t="inlineStr">
        <is>
          <t>Comisión Nacional de los Mercados y la Competencia (CNMC)</t>
        </is>
      </c>
      <c r="CE75" s="27" t="inlineStr">
        <is>
          <t>Autoridades de defensa de la competencia</t>
        </is>
      </c>
      <c r="CF75" s="28" t="n">
        <v>10</v>
      </c>
      <c r="CG75" s="12" t="n"/>
      <c r="CH75" s="29">
        <f>IF(AND(ISNUMBER(BP75),ISNUMBER(AG75),AG75&gt;0),BP75*1000000/AG75,"")</f>
        <v/>
      </c>
      <c r="CI75" s="12" t="n"/>
      <c r="CJ75" s="12" t="n"/>
      <c r="CK75" s="12" t="n"/>
      <c r="CL75" s="12" t="n"/>
      <c r="CM75" s="12" t="n"/>
      <c r="CN75" s="12" t="n"/>
      <c r="CO75" s="12" t="n"/>
      <c r="CP75" s="12" t="n"/>
      <c r="CQ75" s="12" t="n"/>
      <c r="CR75" s="12" t="n"/>
      <c r="CS75" s="12" t="n"/>
    </row>
    <row r="76">
      <c r="A76" s="10" t="n">
        <v>75</v>
      </c>
      <c r="B76" s="10" t="inlineStr">
        <is>
          <t>Autonómico</t>
        </is>
      </c>
      <c r="C76" s="10" t="inlineStr">
        <is>
          <t>Andalucía</t>
        </is>
      </c>
      <c r="D76" s="10" t="inlineStr">
        <is>
          <t>Periodo Zapatero</t>
        </is>
      </c>
      <c r="E76" s="10" t="inlineStr">
        <is>
          <t>Agencia Tributaria de Andalucía</t>
        </is>
      </c>
      <c r="F76" s="10" t="inlineStr">
        <is>
          <t>Nueva entidad; hereda gestión tributaria</t>
        </is>
      </c>
      <c r="G76" s="10" t="inlineStr">
        <is>
          <t>2007-12-18</t>
        </is>
      </c>
      <c r="H76" s="10" t="inlineStr">
        <is>
          <t>Ley 23/2007</t>
        </is>
      </c>
      <c r="I76" s="10" t="inlineStr">
        <is>
          <t>Aplicar tributos propios y cedidos y recaudar ingresos públicos.</t>
        </is>
      </c>
      <c r="J76" s="10" t="inlineStr">
        <is>
          <t>Poder administrativo ejecutivo, liquidación e inspección; no consultiva.</t>
        </is>
      </c>
      <c r="K76" s="11" t="n">
        <v>74.120154</v>
      </c>
      <c r="L76" s="10" t="n">
        <v>2026</v>
      </c>
      <c r="M76" s="10" t="inlineStr">
        <is>
          <t>Crédito inicial aprobado</t>
        </is>
      </c>
      <c r="N76" s="10" t="inlineStr">
        <is>
          <t>2026, crédito aprobado</t>
        </is>
      </c>
      <c r="O76" s="10" t="inlineStr">
        <is>
          <t>Cifra propia verificada</t>
        </is>
      </c>
      <c r="P76" s="12" t="n">
        <v>74.120154</v>
      </c>
      <c r="Q76" s="12" t="n"/>
      <c r="R76" s="10" t="inlineStr">
        <is>
          <t>Crédito propio inicial aprobado 2026: 74,120154 millones EUR; Ley 8/2025, p.18, columna Gastos. No ejecución.</t>
        </is>
      </c>
      <c r="S76" s="10" t="inlineStr">
        <is>
          <t>2026, salvo indicación distinta; créditos iniciales salvo mención expresa</t>
        </is>
      </c>
      <c r="T76" s="10" t="inlineStr">
        <is>
          <t>Creación acreditada; no se ha auditado exhaustivamente continuidad y actividad 2026</t>
        </is>
      </c>
      <c r="U76" s="10" t="inlineStr">
        <is>
          <t>Juicio basado en mandato y evidencia citada, no en una auditoría de eficacia, personal ocupado o independencia práctica.</t>
        </is>
      </c>
      <c r="V76" s="10" t="inlineStr">
        <is>
          <t>No se ha identificado relación en esta revisión (no certifica ausencia)</t>
        </is>
      </c>
      <c r="W76" s="10" t="n"/>
      <c r="X76" s="10" t="inlineStr">
        <is>
          <t>Revisión cualitativa del mandato y estado de las 95 fichas; no auditoría exhaustiva de funciones ni proyectos.</t>
        </is>
      </c>
      <c r="Y76" s="10" t="n"/>
      <c r="Z76" s="10" t="inlineStr">
        <is>
          <t>https://www.boe.es/buscar/act.php?id=BOE-A-2008-3180
https://www.boe.es/buscar/pdf/2026/BOE-A-2026-945-consolidado.pdf</t>
        </is>
      </c>
      <c r="AA76" s="12" t="n"/>
      <c r="AB76" s="10" t="n"/>
      <c r="AC76" s="10" t="n"/>
      <c r="AD76" s="10" t="n"/>
      <c r="AE76" s="13" t="inlineStr">
        <is>
          <t>https://files.instinct.com/q91pr53q4umo-entidades-publicas-poder-y-presupuesto</t>
        </is>
      </c>
      <c r="AF76" s="10" t="inlineStr">
        <is>
          <t>12/10/2026</t>
        </is>
      </c>
      <c r="AG76" s="10" t="n"/>
      <c r="AH76" s="10" t="n"/>
      <c r="AI76" s="10" t="inlineStr">
        <is>
          <t>Personas realmente ocupadas; no equiparar vocales, puestos RPT o apoyo ministerial con plantilla</t>
        </is>
      </c>
      <c r="AJ76" s="10" t="inlineStr">
        <is>
          <t>Pendiente: sin cifra de personal ocupado verificada en el conjunto actual</t>
        </is>
      </c>
      <c r="AK76" s="10" t="n"/>
      <c r="AL76" s="12" t="n">
        <v>44.800303</v>
      </c>
      <c r="AM76" s="10" t="n">
        <v>2026</v>
      </c>
      <c r="AN76" s="10" t="inlineStr">
        <is>
          <t>Cap1 crédito2026, secciónATA10.39 programa6.1.L:44.800303M. Otras secciones1.599294M. Total gasto sección74.120154M; columna otras secciones76.557503M, no total combinado.</t>
        </is>
      </c>
      <c r="AO76" s="10" t="inlineStr">
        <is>
          <t>Fuente primaria: tabla visual cotejada; crédito, no ejecución</t>
        </is>
      </c>
      <c r="AP76" s="10" t="inlineStr">
        <is>
          <t>https://www.juntadeandalucia.es/export/presup2026/estado/programas/estadoIII-b-2.pdf</t>
        </is>
      </c>
      <c r="AQ76" s="12" t="n"/>
      <c r="AR76" s="10" t="n"/>
      <c r="AS76" s="10" t="n"/>
      <c r="AT76" s="10" t="n"/>
      <c r="AU76" s="10" t="n"/>
      <c r="AV76" s="10" t="inlineStr">
        <is>
          <t>Pendiente: no se ha verificado gasto salarial ejecutado individual en esta versión</t>
        </is>
      </c>
      <c r="AW76" s="10" t="inlineStr">
        <is>
          <t>SIN CIFRA INDIVIDUAL VERIFICADA de presupuesto, personal ocupado y salarios ejecutados; investigación pendiente, no prueba de falta de publicación</t>
        </is>
      </c>
      <c r="AX76" s="14" t="n">
        <v>832</v>
      </c>
      <c r="AY76" s="14" t="inlineStr">
        <is>
          <t>2026</t>
        </is>
      </c>
      <c r="AZ76" s="14" t="inlineStr">
        <is>
          <t>personas presupuestadas 2026 sección 10.39 (budgeted, NO ocupación real)</t>
        </is>
      </c>
      <c r="BA76" s="14" t="inlineStr">
        <is>
          <t>https://www.juntadeandalucia.es/export/presup2026/estado/programas/estadoIII-b-2.pdf</t>
        </is>
      </c>
      <c r="BB76" s="14" t="inlineStr">
        <is>
          <t>Programa6.1.L:sección ATA832 personas presupuestadas, cap1 44.800303M; otras secciones20 personas/1.599294M. Total sección74.120154M; total OTRAS SEC76.557503M (no suma ambas columnas). NO ocupación.</t>
        </is>
      </c>
      <c r="BC76" s="10" t="inlineStr">
        <is>
          <t>Revisado: Agencia Tributaria Andalucía: aplicación tributos</t>
        </is>
      </c>
      <c r="BD76" s="10" t="inlineStr">
        <is>
          <t>Art6: gestión, inspección, recaudación y revisión; no trámite previo general de leyes en estas competencias.</t>
        </is>
      </c>
      <c r="BE76" s="10" t="inlineStr">
        <is>
          <t>No consentimiento favorable ni veto legislativo establecido en las cláusulas revisadas.</t>
        </is>
      </c>
      <c r="BF76" s="10" t="inlineStr">
        <is>
          <t>Revisión limitada a las atribuciones citadas: no descarta trámites sectoriales en otras normas.</t>
        </is>
      </c>
      <c r="BG76" s="10" t="inlineStr">
        <is>
          <t>Ley23/2007 art6</t>
        </is>
      </c>
      <c r="BH76" s="10" t="inlineStr">
        <is>
          <t>https://www.boe.es/buscar/act.php?id=BOE-A-2008-3180</t>
        </is>
      </c>
      <c r="BI76" s="12" t="n"/>
      <c r="BJ76" s="12" t="n"/>
      <c r="BK76" s="12" t="n"/>
      <c r="BL76" s="12" t="n"/>
      <c r="BM76" s="10" t="n"/>
      <c r="BN76" s="10" t="n"/>
      <c r="BO76" s="12" t="n"/>
      <c r="BP76" s="12" t="n"/>
      <c r="BQ76" s="12" t="n"/>
      <c r="BR76" s="12" t="n"/>
      <c r="BS76" s="12" t="n"/>
      <c r="BT76" s="12" t="n"/>
      <c r="BU76" s="12" t="n"/>
      <c r="BV76" s="27" t="inlineStr">
        <is>
          <t>No útil</t>
        </is>
      </c>
      <c r="BW76" s="27" t="inlineStr">
        <is>
          <t>Integrar</t>
        </is>
      </c>
      <c r="BX76" s="27" t="inlineStr">
        <is>
          <t>Servicio público directo</t>
        </is>
      </c>
      <c r="BY76" s="27" t="inlineStr">
        <is>
          <t>Competencia autonómica que el Estado no presta en ese territorio; la duplicidad es de forma (agencia propia o dirección general). 12 organismos sobre este tema entre el Estado y las CCAA (verificados).</t>
        </is>
      </c>
      <c r="BZ76" s="27" t="inlineStr">
        <is>
          <t>No</t>
        </is>
      </c>
      <c r="CA76" s="27" t="inlineStr">
        <is>
          <t>Acreditada</t>
        </is>
      </c>
      <c r="CB76" s="27" t="inlineStr">
        <is>
          <t>Gestiona tributos autonómicos y cedidos; el P100 quiere «una sola Agencia Tributaria» para todo el régimen común.</t>
        </is>
      </c>
      <c r="CC76" s="27" t="inlineStr">
        <is>
          <t>Explícito en el P100: Impuestos y financiación territorial 11</t>
        </is>
      </c>
      <c r="CD76" s="27" t="inlineStr">
        <is>
          <t>Agencia Estatal de Administración Tributaria (AEAT)</t>
        </is>
      </c>
      <c r="CE76" s="27" t="inlineStr">
        <is>
          <t>Agencias tributarias</t>
        </is>
      </c>
      <c r="CF76" s="28" t="n">
        <v>12</v>
      </c>
      <c r="CG76" s="12" t="n"/>
      <c r="CH76" s="29">
        <f>IF(AND(ISNUMBER(BP76),ISNUMBER(AG76),AG76&gt;0),BP76*1000000/AG76,"")</f>
        <v/>
      </c>
      <c r="CI76" s="12" t="n"/>
      <c r="CJ76" s="12" t="n"/>
      <c r="CK76" s="12" t="n"/>
      <c r="CL76" s="12" t="n"/>
      <c r="CM76" s="12" t="n"/>
      <c r="CN76" s="12" t="n"/>
      <c r="CO76" s="12" t="n"/>
      <c r="CP76" s="12" t="n"/>
      <c r="CQ76" s="12" t="n"/>
      <c r="CR76" s="12" t="n"/>
      <c r="CS76" s="12" t="n"/>
    </row>
    <row r="77">
      <c r="A77" s="10" t="n">
        <v>76</v>
      </c>
      <c r="B77" s="10" t="inlineStr">
        <is>
          <t>Autonómico</t>
        </is>
      </c>
      <c r="C77" s="10" t="inlineStr">
        <is>
          <t>Andalucía</t>
        </is>
      </c>
      <c r="D77" s="10" t="inlineStr">
        <is>
          <t>Periodo Rajoy</t>
        </is>
      </c>
      <c r="E77" s="10" t="inlineStr">
        <is>
          <t>Consejo de Transparencia y Protección de Datos de Andalucía</t>
        </is>
      </c>
      <c r="F77" s="10" t="inlineStr">
        <is>
          <t>Nueva entidad</t>
        </is>
      </c>
      <c r="G77" s="10" t="inlineStr">
        <is>
          <t>2014-06-24</t>
        </is>
      </c>
      <c r="H77" s="10" t="inlineStr">
        <is>
          <t>Ley 1/2014</t>
        </is>
      </c>
      <c r="I77" s="10" t="inlineStr">
        <is>
          <t>Resolver reclamaciones y controlar transparencia y protección de datos en el ámbito autonómico.</t>
        </is>
      </c>
      <c r="J77" s="10" t="inlineStr">
        <is>
          <t>Poder jurídico sobre reclamaciones y competencias de control; debe distinguirse cada competencia de transparencia/protección de datos.</t>
        </is>
      </c>
      <c r="K77" s="11" t="n"/>
      <c r="L77" s="10" t="n"/>
      <c r="M77" s="10" t="n"/>
      <c r="N77" s="10" t="n"/>
      <c r="O77" s="10" t="inlineStr">
        <is>
          <t>Sin cifra propia actual verificada</t>
        </is>
      </c>
      <c r="P77" s="12" t="n"/>
      <c r="Q77" s="12" t="n"/>
      <c r="R77" s="10" t="inlineStr">
        <is>
          <t>Publica presupuesto 2026, pero importe no extraído/verificado en esta investigación. No cero.</t>
        </is>
      </c>
      <c r="S77" s="10" t="inlineStr">
        <is>
          <t>2026, salvo indicación distinta; créditos iniciales salvo mención expresa</t>
        </is>
      </c>
      <c r="T77" s="10" t="inlineStr">
        <is>
          <t>Portal presupuestario 2026 vigente Actualización2026: Ley1/2026 elimina antigua facultad art48.1(h) de instar expedientes disciplinarios/sancionadores y remite régimen sancionador a Ley19/2013. Conserva función de protección de datos, antes(i), ahora(h).</t>
        </is>
      </c>
      <c r="U77" s="10" t="inlineStr">
        <is>
          <t>Juicio basado en mandato y evidencia citada, no en una auditoría de eficacia, personal ocupado o independencia práctica.</t>
        </is>
      </c>
      <c r="V77" s="10" t="inlineStr">
        <is>
          <t>No se ha identificado relación en esta revisión (no certifica ausencia)</t>
        </is>
      </c>
      <c r="W77" s="10" t="n"/>
      <c r="X77" s="10" t="inlineStr">
        <is>
          <t>Revisión cualitativa del mandato y estado de las 95 fichas; no auditoría exhaustiva de funciones ni proyectos.</t>
        </is>
      </c>
      <c r="Y77" s="10" t="n"/>
      <c r="Z77" s="10" t="inlineStr">
        <is>
          <t>https://www.boe.es/buscar/pdf/2014/BOE-A-2014-7534-consolidado.pdf
https://www.ctpdandalucia.es/transparencia-del-consejo/informacion-economica-financiera-presupuestaria/presupuestos
https://www.boe.es/buscar/act.php?id=BOE-A-2014-7534
https://www.boe.es/buscar/act.php?id=BOE-A-2026-6643</t>
        </is>
      </c>
      <c r="AA77" s="12" t="n"/>
      <c r="AB77" s="10" t="n"/>
      <c r="AC77" s="10" t="n"/>
      <c r="AD77" s="10" t="n"/>
      <c r="AE77" s="13" t="inlineStr">
        <is>
          <t>https://files.instinct.com/q91pr53q4umo-entidades-publicas-poder-y-presupuesto</t>
        </is>
      </c>
      <c r="AF77" s="10" t="inlineStr">
        <is>
          <t>12/10/2026</t>
        </is>
      </c>
      <c r="AG77" s="10" t="n"/>
      <c r="AH77" s="10" t="n"/>
      <c r="AI77" s="10" t="inlineStr">
        <is>
          <t>Personas realmente ocupadas; no equiparar vocales, puestos RPT o apoyo ministerial con plantilla</t>
        </is>
      </c>
      <c r="AJ77" s="10" t="inlineStr">
        <is>
          <t>Pendiente: sin cifra de personal ocupado verificada en el conjunto actual</t>
        </is>
      </c>
      <c r="AK77" s="10" t="n"/>
      <c r="AL77" s="12" t="n"/>
      <c r="AM77" s="10" t="n"/>
      <c r="AN77" s="10" t="n"/>
      <c r="AO77" s="10" t="inlineStr">
        <is>
          <t>Pendiente: sin coste de personal individual verificado en el conjunto actual</t>
        </is>
      </c>
      <c r="AP77" s="10" t="n"/>
      <c r="AQ77" s="12" t="n"/>
      <c r="AR77" s="10" t="n"/>
      <c r="AS77" s="10" t="n"/>
      <c r="AT77" s="10" t="n"/>
      <c r="AU77" s="10" t="n"/>
      <c r="AV77" s="10" t="inlineStr">
        <is>
          <t>Pendiente: no se ha verificado gasto salarial ejecutado individual en esta versión</t>
        </is>
      </c>
      <c r="AW77" s="10" t="inlineStr">
        <is>
          <t>SIN CIFRA INDIVIDUAL VERIFICADA de presupuesto, personal ocupado y salarios ejecutados; investigación pendiente, no prueba de falta de publicación</t>
        </is>
      </c>
      <c r="AX77" s="14" t="n"/>
      <c r="AY77" s="14" t="n"/>
      <c r="AZ77" s="14" t="n"/>
      <c r="BA77" s="14" t="n"/>
      <c r="BB77" s="14" t="n"/>
      <c r="BC77" s="10" t="inlineStr">
        <is>
          <t>Consulta preceptiva de anteproyectos de leyes y disposiciones generales en materias del Consejo</t>
        </is>
      </c>
      <c r="BD77" s="10" t="inlineStr">
        <is>
          <t>SÍ: informe de su Comisión Consultiva sobre anteproyectos de leyes y proyectos de disposiciones generales en materias competencia del Consejo</t>
        </is>
      </c>
      <c r="BE77" s="10" t="inlineStr">
        <is>
          <t>El art 15.1(d) exige informe, no consentimiento favorable ni veto; vinculación no declarada en esta disposición</t>
        </is>
      </c>
      <c r="BF77" s="10" t="inlineStr">
        <is>
          <t>Trámite obligatorio acotado. No veto legislativo atribuido en la disposición; efecto de omisión o demora requiere expediente/procedimiento específico.</t>
        </is>
      </c>
      <c r="BG77" s="10" t="inlineStr">
        <is>
          <t>Decreto 434/2015, Estatutos art 15.1(d); Ley 1/2014 art 49</t>
        </is>
      </c>
      <c r="BH77" s="10" t="inlineStr">
        <is>
          <t>https://www.juntadeandalucia.es/boja/2015/193/1
https://www.ctpdandalucia.es/comision-consultiva</t>
        </is>
      </c>
      <c r="BI77" s="12" t="n"/>
      <c r="BJ77" s="12" t="n"/>
      <c r="BK77" s="12" t="n"/>
      <c r="BL77" s="12" t="n"/>
      <c r="BM77" s="10" t="n"/>
      <c r="BN77" s="10" t="n"/>
      <c r="BO77" s="12" t="n"/>
      <c r="BP77" s="12" t="n"/>
      <c r="BQ77" s="12" t="n"/>
      <c r="BR77" s="12" t="n"/>
      <c r="BS77" s="12" t="n"/>
      <c r="BT77" s="12" t="n"/>
      <c r="BU77" s="12" t="n"/>
      <c r="BV77" s="27" t="inlineStr">
        <is>
          <t>No útil</t>
        </is>
      </c>
      <c r="BW77" s="27" t="inlineStr">
        <is>
          <t>Integrar</t>
        </is>
      </c>
      <c r="BX77" s="27" t="inlineStr">
        <is>
          <t>Control interno y cumplimiento</t>
        </is>
      </c>
      <c r="BY77" s="27" t="inlineStr">
        <is>
          <t>Duplica a CTBG, que ya cubre este territorio o puede hacerlo. 13 organismos sobre este tema entre el Estado y las CCAA (verificados).</t>
        </is>
      </c>
      <c r="BZ77" s="27" t="inlineStr">
        <is>
          <t>No</t>
        </is>
      </c>
      <c r="CA77" s="27" t="inlineStr">
        <is>
          <t>Acreditada</t>
        </is>
      </c>
      <c r="CB77" s="27" t="inlineStr">
        <is>
          <t>Consejo autonómico de transparencia y datos; el CTBG ya resuelve por convenio las reclamaciones de cinco comunidades y la AEPD supervisa por defecto.</t>
        </is>
      </c>
      <c r="CC77" s="27" t="inlineStr">
        <is>
          <t>Aplicando el criterio del P100: Criterio Extramuros del 12/10/2026 y Organización del Estado 11</t>
        </is>
      </c>
      <c r="CD77" s="27" t="inlineStr">
        <is>
          <t>Consejo de Transparencia y Buen Gobierno (CTBG) y Agencia Española de Protección de Datos (AEPD)</t>
        </is>
      </c>
      <c r="CE77" s="27" t="inlineStr">
        <is>
          <t>Consejos de transparencia</t>
        </is>
      </c>
      <c r="CF77" s="28" t="n">
        <v>13</v>
      </c>
      <c r="CG77" s="12" t="n"/>
      <c r="CH77" s="29">
        <f>IF(AND(ISNUMBER(BP77),ISNUMBER(AG77),AG77&gt;0),BP77*1000000/AG77,"")</f>
        <v/>
      </c>
      <c r="CI77" s="12" t="n"/>
      <c r="CJ77" s="12" t="n"/>
      <c r="CK77" s="12" t="n"/>
      <c r="CL77" s="12" t="n"/>
      <c r="CM77" s="12" t="n"/>
      <c r="CN77" s="12" t="n"/>
      <c r="CO77" s="12" t="n"/>
      <c r="CP77" s="12" t="n"/>
      <c r="CQ77" s="12" t="n"/>
      <c r="CR77" s="12" t="n"/>
      <c r="CS77" s="12" t="n"/>
    </row>
    <row r="78">
      <c r="A78" s="10" t="n">
        <v>77</v>
      </c>
      <c r="B78" s="10" t="inlineStr">
        <is>
          <t>Autonómico</t>
        </is>
      </c>
      <c r="C78" s="10" t="inlineStr">
        <is>
          <t>Andalucía</t>
        </is>
      </c>
      <c r="D78" s="10" t="inlineStr">
        <is>
          <t>Periodo Zapatero</t>
        </is>
      </c>
      <c r="E78" s="10" t="inlineStr">
        <is>
          <t>Observatorio Territorial de Andalucía</t>
        </is>
      </c>
      <c r="F78" s="10" t="inlineStr">
        <is>
          <t>Órgano colegiado nuevo</t>
        </is>
      </c>
      <c r="G78" s="10" t="inlineStr">
        <is>
          <t>2007-03-13</t>
        </is>
      </c>
      <c r="H78" s="10" t="inlineStr">
        <is>
          <t>Orden de 13/03/2007</t>
        </is>
      </c>
      <c r="I78" s="10" t="inlineStr">
        <is>
          <t>Analizar territorio, tendencias e incidencia de políticas públicas.</t>
        </is>
      </c>
      <c r="J78" s="10" t="inlineStr">
        <is>
          <t>Técnico/consultivo; secretaría y apoyo del departamento territorial, sin sanción ni veto.</t>
        </is>
      </c>
      <c r="K78" s="11" t="n"/>
      <c r="L78" s="10" t="n"/>
      <c r="M78" s="10" t="n"/>
      <c r="N78" s="10" t="n"/>
      <c r="O78" s="10" t="inlineStr">
        <is>
          <t>Sin cifra propia actual verificada</t>
        </is>
      </c>
      <c r="P78" s="12" t="n"/>
      <c r="Q78" s="12" t="n"/>
      <c r="R78" s="10" t="inlineStr">
        <is>
          <t>No se ha verificado una dotación propia actual. No equivale a cero EUR ni se le atribuye el presupuesto de la consejería.</t>
        </is>
      </c>
      <c r="S78" s="10" t="inlineStr">
        <is>
          <t>2026, salvo indicación distinta; créditos iniciales salvo mención expresa</t>
        </is>
      </c>
      <c r="T78" s="10" t="inlineStr">
        <is>
          <t>Creación acreditada; no se ha auditado exhaustivamente continuidad y actividad 2026</t>
        </is>
      </c>
      <c r="U78" s="10" t="inlineStr">
        <is>
          <t>Juicio basado en mandato y evidencia citada, no en una auditoría de eficacia, personal ocupado o independencia práctica.</t>
        </is>
      </c>
      <c r="V78" s="10" t="inlineStr">
        <is>
          <t>No se ha identificado relación en esta revisión (no certifica ausencia)</t>
        </is>
      </c>
      <c r="W78" s="10" t="n"/>
      <c r="X78" s="10" t="inlineStr">
        <is>
          <t>Revisión cualitativa del mandato y estado de las 95 fichas; no auditoría exhaustiva de funciones ni proyectos.</t>
        </is>
      </c>
      <c r="Y78" s="10" t="n"/>
      <c r="Z78" s="30" t="inlineStr">
        <is>
          <t>https://www.juntadeandalucia.es/boja/2007/70/4
https://cdn.juntadeandalucia.es/boja/2007/70/d5.pdf</t>
        </is>
      </c>
      <c r="AA78" s="12" t="n"/>
      <c r="AB78" s="10" t="n"/>
      <c r="AC78" s="10" t="n"/>
      <c r="AD78" s="10" t="n"/>
      <c r="AE78" s="13" t="inlineStr">
        <is>
          <t>https://files.instinct.com/q91pr53q4umo-entidades-publicas-poder-y-presupuesto</t>
        </is>
      </c>
      <c r="AF78" s="10" t="inlineStr">
        <is>
          <t>12/10/2026</t>
        </is>
      </c>
      <c r="AG78" s="10" t="n"/>
      <c r="AH78" s="10" t="n"/>
      <c r="AI78" s="10" t="inlineStr">
        <is>
          <t>Personas realmente ocupadas; no equiparar vocales, puestos RPT o apoyo ministerial con plantilla</t>
        </is>
      </c>
      <c r="AJ78" s="10" t="inlineStr">
        <is>
          <t>Pendiente: sin cifra de personal ocupado verificada en el conjunto actual</t>
        </is>
      </c>
      <c r="AK78" s="10" t="n"/>
      <c r="AL78" s="12" t="n"/>
      <c r="AM78" s="10" t="n"/>
      <c r="AN78" s="10" t="n"/>
      <c r="AO78" s="10" t="inlineStr">
        <is>
          <t>Pendiente: sin coste de personal individual verificado en el conjunto actual</t>
        </is>
      </c>
      <c r="AP78" s="10" t="n"/>
      <c r="AQ78" s="12" t="n"/>
      <c r="AR78" s="10" t="n"/>
      <c r="AS78" s="10" t="n"/>
      <c r="AT78" s="10" t="n"/>
      <c r="AU78" s="10" t="n"/>
      <c r="AV78" s="10" t="inlineStr">
        <is>
          <t>Pendiente: no se ha verificado gasto salarial ejecutado individual en esta versión</t>
        </is>
      </c>
      <c r="AW78" s="10" t="inlineStr">
        <is>
          <t>SIN CIFRA INDIVIDUAL VERIFICADA de presupuesto, personal ocupado y salarios ejecutados; investigación pendiente, no prueba de falta de publicación</t>
        </is>
      </c>
      <c r="AX78" s="14" t="n"/>
      <c r="AY78" s="14" t="n"/>
      <c r="AZ78" s="14" t="n"/>
      <c r="BA78" s="14" t="n"/>
      <c r="BB78" s="14" t="n"/>
      <c r="BC78" s="10" t="inlineStr">
        <is>
          <t>Análisis del territorio e informes encargados por la consejería</t>
        </is>
      </c>
      <c r="BD78" s="10" t="inlineStr">
        <is>
          <t>No informe preceptivo general sobre aprobación de leyes identificado en las funciones revisadas</t>
        </is>
      </c>
      <c r="BE78" s="10" t="inlineStr">
        <is>
          <t>No consentimiento favorable o vinculación normativa establecido en funciones revisadas</t>
        </is>
      </c>
      <c r="BF78" s="10" t="inlineStr">
        <is>
          <t>No poder de veto legislativo atribuido en funciones revisadas. Proponer cambios, informar a Cortes o participar no equivale a aprobar leyes; no certifica ausencia de reglas sectoriales posteriores.</t>
        </is>
      </c>
      <c r="BG78" s="10" t="inlineStr">
        <is>
          <t>Orden 14/03/2007 art 2</t>
        </is>
      </c>
      <c r="BH78" s="10" t="inlineStr">
        <is>
          <t>https://www.juntadeandalucia.es/boja/2007/70/4</t>
        </is>
      </c>
      <c r="BI78" s="12" t="n"/>
      <c r="BJ78" s="12" t="n"/>
      <c r="BK78" s="12" t="n"/>
      <c r="BL78" s="12" t="n"/>
      <c r="BM78" s="10" t="n"/>
      <c r="BN78" s="10" t="n"/>
      <c r="BO78" s="12" t="n"/>
      <c r="BP78" s="12" t="n"/>
      <c r="BQ78" s="12" t="n"/>
      <c r="BR78" s="12" t="n"/>
      <c r="BS78" s="12" t="n"/>
      <c r="BT78" s="12" t="n"/>
      <c r="BU78" s="12" t="n"/>
      <c r="BV78" s="27" t="inlineStr">
        <is>
          <t>No útil</t>
        </is>
      </c>
      <c r="BW78" s="27" t="inlineStr">
        <is>
          <t>Suprimir</t>
        </is>
      </c>
      <c r="BX78" s="27" t="inlineStr">
        <is>
          <t>Consultivo o participación</t>
        </is>
      </c>
      <c r="BY78" s="12" t="n"/>
      <c r="BZ78" s="27" t="inlineStr">
        <is>
          <t>No</t>
        </is>
      </c>
      <c r="CA78" s="27" t="inlineStr">
        <is>
          <t>No acreditada</t>
        </is>
      </c>
      <c r="CB78" s="27" t="inlineStr">
        <is>
          <t>Órgano consultivo sin medios propios: su producto son informes y reuniones, que el P100 no cuenta como resultado.</t>
        </is>
      </c>
      <c r="CC78" s="27" t="inlineStr">
        <is>
          <t>Aplicando el criterio del P100: Costes del Estado 2 (aplicado a las CCAA)</t>
        </is>
      </c>
      <c r="CD78" s="27" t="inlineStr">
        <is>
          <t>Consejería autonómica competente</t>
        </is>
      </c>
      <c r="CE78" s="27" t="inlineStr">
        <is>
          <t>Territorio</t>
        </is>
      </c>
      <c r="CF78" s="12" t="n"/>
      <c r="CG78" s="27" t="inlineStr">
        <is>
          <t>Apoyo: Secretaría General de Ordenación del Territorio, a través de la DG del Instituto de Cartografía de Andalucía: apoyo técnico y funciones de secretaría (art. 4 Orden 13/03/2007). miembros: dietas/indemnizaciones por asistencia (DA única Orden 13/03/2007: miembros ajenos a la Junta «podrán percibir indemnizaciones en concepto de dietas y gastos de desplazamientos», Decreto 54/1989).</t>
        </is>
      </c>
      <c r="CH78" s="29">
        <f>IF(AND(ISNUMBER(BP78),ISNUMBER(AG78),AG78&gt;0),BP78*1000000/AG78,"")</f>
        <v/>
      </c>
      <c r="CI78" s="12" t="n"/>
      <c r="CJ78" s="12" t="n"/>
      <c r="CK78" s="12" t="n"/>
      <c r="CL78" s="12" t="n"/>
      <c r="CM78" s="12" t="n"/>
      <c r="CN78" s="12" t="n"/>
      <c r="CO78" s="12" t="n"/>
      <c r="CP78" s="12" t="n"/>
      <c r="CQ78" s="12" t="n"/>
      <c r="CR78" s="12" t="n"/>
      <c r="CS78" s="12" t="n"/>
    </row>
    <row r="79">
      <c r="A79" s="10" t="n">
        <v>78</v>
      </c>
      <c r="B79" s="10" t="inlineStr">
        <is>
          <t>Autonómico</t>
        </is>
      </c>
      <c r="C79" s="10" t="inlineStr">
        <is>
          <t>Aragón</t>
        </is>
      </c>
      <c r="D79" s="10" t="inlineStr">
        <is>
          <t>Periodo Zapatero</t>
        </is>
      </c>
      <c r="E79" s="10" t="inlineStr">
        <is>
          <t>Agencia de Calidad y Prospectiva Universitaria de Aragón (ACPUA)</t>
        </is>
      </c>
      <c r="F79" s="10" t="inlineStr">
        <is>
          <t>Nueva entidad</t>
        </is>
      </c>
      <c r="G79" s="10" t="inlineStr">
        <is>
          <t>2005-06-14</t>
        </is>
      </c>
      <c r="H79" s="10" t="inlineStr">
        <is>
          <t>Ley 5/2005</t>
        </is>
      </c>
      <c r="I79" s="10" t="inlineStr">
        <is>
          <t>Evaluación, certificación y acreditación universitaria.</t>
        </is>
      </c>
      <c r="J79" s="10" t="inlineStr">
        <is>
          <t>Poder técnico con efectos en calidad/acreditación, no regulador económico ni mero foro.</t>
        </is>
      </c>
      <c r="K79" s="11" t="n"/>
      <c r="L79" s="10" t="n"/>
      <c r="M79" s="10" t="n"/>
      <c r="N79" s="10" t="n"/>
      <c r="O79" s="10" t="inlineStr">
        <is>
          <t>Sin cifra propia actual verificada</t>
        </is>
      </c>
      <c r="P79" s="12" t="n"/>
      <c r="Q79" s="12" t="n"/>
      <c r="R79" s="10" t="inlineStr">
        <is>
          <t>Importe individual 2026 no verificado. Aragón prorrogó créditos 2024 para 2026; no trasladar automáticamente una cifra antigua sin ajustes.</t>
        </is>
      </c>
      <c r="S79" s="10" t="inlineStr">
        <is>
          <t>2026, salvo indicación distinta; créditos iniciales salvo mención expresa</t>
        </is>
      </c>
      <c r="T79" s="10" t="inlineStr">
        <is>
          <t>Creación acreditada; no se ha auditado exhaustivamente continuidad y actividad 2026</t>
        </is>
      </c>
      <c r="U79" s="10" t="inlineStr">
        <is>
          <t>Juicio basado en mandato y evidencia citada, no en una auditoría de eficacia, personal ocupado o independencia práctica.</t>
        </is>
      </c>
      <c r="V79" s="10" t="inlineStr">
        <is>
          <t>No se ha identificado relación en esta revisión (no certifica ausencia)</t>
        </is>
      </c>
      <c r="W79" s="10" t="n"/>
      <c r="X79" s="10" t="inlineStr">
        <is>
          <t>Revisión cualitativa del mandato y estado de las 95 fichas; no auditoría exhaustiva de funciones ni proyectos.</t>
        </is>
      </c>
      <c r="Y79" s="10" t="n"/>
      <c r="Z79" s="10" t="inlineStr">
        <is>
          <t>https://boe.es/buscar/doc.php?id=BOE-A-2005-14406
https://boe.es/boe/dias/2026/08/08/pdfs/BOE-A-2026-17288.pdf</t>
        </is>
      </c>
      <c r="AA79" s="12" t="n"/>
      <c r="AB79" s="10" t="n"/>
      <c r="AC79" s="10" t="n"/>
      <c r="AD79" s="10" t="n"/>
      <c r="AE79" s="13" t="inlineStr">
        <is>
          <t>https://files.instinct.com/q91pr53q4umo-entidades-publicas-poder-y-presupuesto</t>
        </is>
      </c>
      <c r="AF79" s="10" t="inlineStr">
        <is>
          <t>12/10/2026</t>
        </is>
      </c>
      <c r="AG79" s="10" t="n"/>
      <c r="AH79" s="10" t="n"/>
      <c r="AI79" s="10" t="inlineStr">
        <is>
          <t>Personas realmente ocupadas; no equiparar vocales, puestos RPT o apoyo ministerial con plantilla</t>
        </is>
      </c>
      <c r="AJ79" s="10" t="inlineStr">
        <is>
          <t>Pendiente: sin cifra de personal ocupado verificada en el conjunto actual</t>
        </is>
      </c>
      <c r="AK79" s="10" t="n"/>
      <c r="AL79" s="12" t="n"/>
      <c r="AM79" s="10" t="n"/>
      <c r="AN79" s="10" t="n"/>
      <c r="AO79" s="10" t="inlineStr">
        <is>
          <t>Pendiente: sin coste de personal individual verificado en el conjunto actual</t>
        </is>
      </c>
      <c r="AP79" s="10" t="n"/>
      <c r="AQ79" s="12" t="n"/>
      <c r="AR79" s="10" t="n"/>
      <c r="AS79" s="10" t="n"/>
      <c r="AT79" s="10" t="n"/>
      <c r="AU79" s="10" t="n"/>
      <c r="AV79" s="10" t="inlineStr">
        <is>
          <t>Pendiente: no se ha verificado gasto salarial ejecutado individual en esta versión</t>
        </is>
      </c>
      <c r="AW79" s="10" t="inlineStr">
        <is>
          <t>SIN CIFRA INDIVIDUAL VERIFICADA de presupuesto, personal ocupado y salarios ejecutados; investigación pendiente, no prueba de falta de publicación</t>
        </is>
      </c>
      <c r="AX79" s="14" t="n"/>
      <c r="AY79" s="14" t="n"/>
      <c r="AZ79" s="14" t="n"/>
      <c r="BA79" s="14" t="n"/>
      <c r="BB79" s="14" t="n"/>
      <c r="BC79" s="10" t="inlineStr">
        <is>
          <t>Revisado: ACPUA: evaluación y acreditación</t>
        </is>
      </c>
      <c r="BD79" s="10" t="inlineStr">
        <is>
          <t>Art85: acreditación/evaluación universidad, titulaciones y docentes; no permiso general de leyes.</t>
        </is>
      </c>
      <c r="BE79" s="10" t="inlineStr">
        <is>
          <t>No consentimiento favorable ni veto legislativo establecido en las cláusulas revisadas.</t>
        </is>
      </c>
      <c r="BF79" s="10" t="inlineStr">
        <is>
          <t>Revisión limitada a las atribuciones citadas: no descarta trámites sectoriales en otras normas.</t>
        </is>
      </c>
      <c r="BG79" s="10" t="inlineStr">
        <is>
          <t>Ley5/2005 arts84-85</t>
        </is>
      </c>
      <c r="BH79" s="10" t="inlineStr">
        <is>
          <t>https://boe.es/buscar/doc.php?id=BOE-A-2005-14406</t>
        </is>
      </c>
      <c r="BI79" s="12" t="n"/>
      <c r="BJ79" s="12" t="n"/>
      <c r="BK79" s="12" t="n"/>
      <c r="BL79" s="12" t="n"/>
      <c r="BM79" s="10" t="n"/>
      <c r="BN79" s="10" t="n"/>
      <c r="BO79" s="12" t="n"/>
      <c r="BP79" s="12" t="n"/>
      <c r="BQ79" s="12" t="n"/>
      <c r="BR79" s="12" t="n"/>
      <c r="BS79" s="12" t="n"/>
      <c r="BT79" s="12" t="n"/>
      <c r="BU79" s="12" t="n"/>
      <c r="BV79" s="27" t="inlineStr">
        <is>
          <t>No útil</t>
        </is>
      </c>
      <c r="BW79" s="27" t="inlineStr">
        <is>
          <t>Integrar</t>
        </is>
      </c>
      <c r="BX79" s="27" t="inlineStr">
        <is>
          <t>Control interno y cumplimiento</t>
        </is>
      </c>
      <c r="BY79" s="27" t="inlineStr">
        <is>
          <t>Duplica a ANECA, que ya cubre este territorio o puede hacerlo. 11 organismos sobre este tema entre el Estado y las CCAA (verificados).</t>
        </is>
      </c>
      <c r="BZ79" s="27" t="inlineStr">
        <is>
          <t>No</t>
        </is>
      </c>
      <c r="CA79" s="27" t="inlineStr">
        <is>
          <t>Acreditada</t>
        </is>
      </c>
      <c r="CB79" s="27" t="inlineStr">
        <is>
          <t>Agencia autonómica de calidad universitaria; ANECA ya evalúa en las siete comunidades sin agencia propia.</t>
        </is>
      </c>
      <c r="CC79" s="27" t="inlineStr">
        <is>
          <t>Aplicando el criterio del P100: Criterio Extramuros del 12/10/2026</t>
        </is>
      </c>
      <c r="CD79" s="27" t="inlineStr">
        <is>
          <t>Agencia Nacional de Evaluación de la Calidad y Acreditación (ANECA)</t>
        </is>
      </c>
      <c r="CE79" s="27" t="inlineStr">
        <is>
          <t>Agencias de calidad universitaria</t>
        </is>
      </c>
      <c r="CF79" s="28" t="n">
        <v>11</v>
      </c>
      <c r="CG79" s="12" t="n"/>
      <c r="CH79" s="29">
        <f>IF(AND(ISNUMBER(BP79),ISNUMBER(AG79),AG79&gt;0),BP79*1000000/AG79,"")</f>
        <v/>
      </c>
      <c r="CI79" s="12" t="n"/>
      <c r="CJ79" s="12" t="n"/>
      <c r="CK79" s="12" t="n"/>
      <c r="CL79" s="12" t="n"/>
      <c r="CM79" s="12" t="n"/>
      <c r="CN79" s="12" t="n"/>
      <c r="CO79" s="12" t="n"/>
      <c r="CP79" s="12" t="n"/>
      <c r="CQ79" s="12" t="n"/>
      <c r="CR79" s="12" t="n"/>
      <c r="CS79" s="12" t="n"/>
    </row>
    <row r="80">
      <c r="A80" s="10" t="n">
        <v>79</v>
      </c>
      <c r="B80" s="10" t="inlineStr">
        <is>
          <t>Autonómico</t>
        </is>
      </c>
      <c r="C80" s="10" t="inlineStr">
        <is>
          <t>Asturias</t>
        </is>
      </c>
      <c r="D80" s="10" t="inlineStr">
        <is>
          <t>Periodo Rajoy</t>
        </is>
      </c>
      <c r="E80" s="10" t="inlineStr">
        <is>
          <t>Servicio de Emergencias del Principado de Asturias (SEPA)</t>
        </is>
      </c>
      <c r="F80" s="10" t="inlineStr">
        <is>
          <t>Fusión y reorganización de Bomberos y 112 Asturias</t>
        </is>
      </c>
      <c r="G80" s="10" t="inlineStr">
        <is>
          <t>2013-05-24</t>
        </is>
      </c>
      <c r="H80" s="10" t="inlineStr">
        <is>
          <t>Ley 1/2013</t>
        </is>
      </c>
      <c r="I80" s="10" t="inlineStr">
        <is>
          <t>Prevención y extinción de incendios, salvamento y respuesta a emergencias.</t>
        </is>
      </c>
      <c r="J80" s="10" t="inlineStr">
        <is>
          <t>Servicio operativo real; no creación de función desde cero.</t>
        </is>
      </c>
      <c r="K80" s="11" t="n">
        <v>53.101505</v>
      </c>
      <c r="L80" s="10" t="n">
        <v>2026</v>
      </c>
      <c r="M80" s="10" t="inlineStr">
        <is>
          <t>Crédito inicial aprobado</t>
        </is>
      </c>
      <c r="N80" s="10" t="inlineStr">
        <is>
          <t>2026, crédito aprobado</t>
        </is>
      </c>
      <c r="O80" s="10" t="inlineStr">
        <is>
          <t>Cifra propia verificada</t>
        </is>
      </c>
      <c r="P80" s="12" t="n">
        <v>53.101505</v>
      </c>
      <c r="Q80" s="12" t="n"/>
      <c r="R80" s="10" t="inlineStr">
        <is>
          <t>Crédito inicial propio 2026: 53.101.505 EUR. No ejecución ni crédito actualizado.</t>
        </is>
      </c>
      <c r="S80" s="10" t="inlineStr">
        <is>
          <t>2026, salvo indicación distinta; créditos iniciales salvo mención expresa</t>
        </is>
      </c>
      <c r="T80" s="10" t="inlineStr">
        <is>
          <t>Presupuestado 2026</t>
        </is>
      </c>
      <c r="U80" s="10" t="inlineStr">
        <is>
          <t>Juicio basado en mandato y evidencia citada, no en una auditoría de eficacia, personal ocupado o independencia práctica.</t>
        </is>
      </c>
      <c r="V80" s="10" t="inlineStr">
        <is>
          <t>No se ha identificado relación en esta revisión (no certifica ausencia)</t>
        </is>
      </c>
      <c r="W80" s="10" t="n"/>
      <c r="X80" s="10" t="inlineStr">
        <is>
          <t>Revisión cualitativa del mandato y estado de las 95 fichas; no auditoría exhaustiva de funciones ni proyectos.</t>
        </is>
      </c>
      <c r="Y80" s="10" t="n"/>
      <c r="Z80" s="10" t="inlineStr">
        <is>
          <t>https://www.boe.es/buscar/doc.php?id=BOE-A-2013-8930
https://transparencia.asturias.es/documents/2213862/4017833/presupuestos_2026_tomo_informacion_presupuestaria_basica.pdf/8bd1ac47-6bc3-4174-d5a7-dc8160dd9acc?t=1769080801898</t>
        </is>
      </c>
      <c r="AA80" s="12" t="n"/>
      <c r="AB80" s="10" t="n"/>
      <c r="AC80" s="10" t="n"/>
      <c r="AD80" s="10" t="n"/>
      <c r="AE80" s="13" t="inlineStr">
        <is>
          <t>https://files.instinct.com/q91pr53q4umo-entidades-publicas-poder-y-presupuesto</t>
        </is>
      </c>
      <c r="AF80" s="10" t="inlineStr">
        <is>
          <t>12/10/2026</t>
        </is>
      </c>
      <c r="AG80" s="10" t="n"/>
      <c r="AH80" s="10" t="n"/>
      <c r="AI80" s="10" t="inlineStr">
        <is>
          <t>Personas realmente ocupadas; no equiparar vocales, puestos RPT o apoyo ministerial con plantilla</t>
        </is>
      </c>
      <c r="AJ80" s="10" t="inlineStr">
        <is>
          <t>Pendiente: sin cifra de personal ocupado verificada en el conjunto actual</t>
        </is>
      </c>
      <c r="AK80" s="10" t="n"/>
      <c r="AL80" s="12" t="n"/>
      <c r="AM80" s="10" t="n"/>
      <c r="AN80" s="10" t="n"/>
      <c r="AO80" s="10" t="inlineStr">
        <is>
          <t>Pendiente: sin coste de personal individual verificado en el conjunto actual</t>
        </is>
      </c>
      <c r="AP80" s="10" t="n"/>
      <c r="AQ80" s="12" t="n"/>
      <c r="AR80" s="10" t="n"/>
      <c r="AS80" s="10" t="n"/>
      <c r="AT80" s="10" t="n"/>
      <c r="AU80" s="10" t="n"/>
      <c r="AV80" s="10" t="inlineStr">
        <is>
          <t>Pendiente: no se ha verificado gasto salarial ejecutado individual en esta versión</t>
        </is>
      </c>
      <c r="AW80" s="10" t="inlineStr">
        <is>
          <t>Presupuesto propio verificado; personal y salarios ejecutados pendientes</t>
        </is>
      </c>
      <c r="AX80" s="14" t="n"/>
      <c r="AY80" s="14" t="n"/>
      <c r="AZ80" s="14" t="n"/>
      <c r="BA80" s="14" t="n"/>
      <c r="BB80" s="14" t="n"/>
      <c r="BC80" s="10" t="inlineStr">
        <is>
          <t>Revisado: SEPA: emergencias</t>
        </is>
      </c>
      <c r="BD80" s="10" t="inlineStr">
        <is>
          <t>Atención112, proteccióncivil, incendios y salvamentos. ConsejoBomberos citado en modificación otra ley no debe confundirse con SEPA.</t>
        </is>
      </c>
      <c r="BE80" s="10" t="inlineStr">
        <is>
          <t>No consentimiento favorable ni veto legislativo establecido en las cláusulas revisadas.</t>
        </is>
      </c>
      <c r="BF80" s="10" t="inlineStr">
        <is>
          <t>Revisión limitada a las atribuciones citadas: no descarta trámites sectoriales en otras normas.</t>
        </is>
      </c>
      <c r="BG80" s="10" t="inlineStr">
        <is>
          <t>Ley1/2013 art5</t>
        </is>
      </c>
      <c r="BH80" s="10" t="inlineStr">
        <is>
          <t>https://www.boe.es/buscar/doc.php?id=BOE-A-2013-8930</t>
        </is>
      </c>
      <c r="BI80" s="12" t="n"/>
      <c r="BJ80" s="12" t="n"/>
      <c r="BK80" s="12" t="n"/>
      <c r="BL80" s="12" t="n"/>
      <c r="BM80" s="10" t="n"/>
      <c r="BN80" s="10" t="n"/>
      <c r="BO80" s="12" t="n"/>
      <c r="BP80" s="12" t="n"/>
      <c r="BQ80" s="12" t="n"/>
      <c r="BR80" s="12" t="n"/>
      <c r="BS80" s="12" t="n"/>
      <c r="BT80" s="12" t="n"/>
      <c r="BU80" s="12" t="n"/>
      <c r="BV80" s="27" t="inlineStr">
        <is>
          <t>Útil</t>
        </is>
      </c>
      <c r="BW80" s="27" t="inlineStr">
        <is>
          <t>Mantener</t>
        </is>
      </c>
      <c r="BX80" s="27" t="inlineStr">
        <is>
          <t>Servicio público directo</t>
        </is>
      </c>
      <c r="BY80" s="27" t="inlineStr">
        <is>
          <t>Competencia autonómica que el Estado no presta en ese territorio; la duplicidad es de forma (agencia propia o dirección general). 9 organismos sobre este tema entre el Estado y las CCAA (verificados).</t>
        </is>
      </c>
      <c r="BZ80" s="27" t="inlineStr">
        <is>
          <t>No</t>
        </is>
      </c>
      <c r="CA80" s="27" t="inlineStr">
        <is>
          <t>Parcial</t>
        </is>
      </c>
      <c r="CB80" s="27"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c r="CC80" s="27" t="inlineStr">
        <is>
          <t>Aplicando el criterio del P100: Servicio directo que el Estado no presta</t>
        </is>
      </c>
      <c r="CD80" s="12" t="n"/>
      <c r="CE80" s="27" t="inlineStr">
        <is>
          <t>Entes de emergencias 112</t>
        </is>
      </c>
      <c r="CF80" s="28" t="n">
        <v>9</v>
      </c>
      <c r="CG80" s="12" t="n"/>
      <c r="CH80" s="29">
        <f>IF(AND(ISNUMBER(BP80),ISNUMBER(AG80),AG80&gt;0),BP80*1000000/AG80,"")</f>
        <v/>
      </c>
      <c r="CI80" s="12" t="n"/>
      <c r="CJ80" s="12" t="n"/>
      <c r="CK80" s="12" t="n"/>
      <c r="CL80" s="12" t="n"/>
      <c r="CM80" s="12" t="n"/>
      <c r="CN80" s="12" t="n"/>
      <c r="CO80" s="12" t="n"/>
      <c r="CP80" s="12" t="n"/>
      <c r="CQ80" s="12" t="n"/>
      <c r="CR80" s="12" t="n"/>
      <c r="CS80" s="12" t="n"/>
    </row>
    <row r="81">
      <c r="A81" s="10" t="n">
        <v>80</v>
      </c>
      <c r="B81" s="10" t="inlineStr">
        <is>
          <t>Autonómico</t>
        </is>
      </c>
      <c r="C81" s="10" t="inlineStr">
        <is>
          <t>Illes Balears</t>
        </is>
      </c>
      <c r="D81" s="10" t="inlineStr">
        <is>
          <t>Periodo Zapatero</t>
        </is>
      </c>
      <c r="E81" s="10" t="inlineStr">
        <is>
          <t>Agencia Tributaria de las Illes Balears (ATIB)</t>
        </is>
      </c>
      <c r="F81" s="10" t="inlineStr">
        <is>
          <t>Nueva entidad que recibe competencias tributarias existentes</t>
        </is>
      </c>
      <c r="G81" s="10" t="inlineStr">
        <is>
          <t>2008-04-14</t>
        </is>
      </c>
      <c r="H81" s="10" t="inlineStr">
        <is>
          <t>Ley 3/2008</t>
        </is>
      </c>
      <c r="I81" s="10" t="inlineStr">
        <is>
          <t>Gestión, inspección y recaudación tributaria.</t>
        </is>
      </c>
      <c r="J81" s="10" t="inlineStr">
        <is>
          <t>Poder tributario ejecutivo, no consultivo.</t>
        </is>
      </c>
      <c r="K81" s="11" t="n">
        <v>16.25992</v>
      </c>
      <c r="L81" s="10" t="n">
        <v>2026</v>
      </c>
      <c r="M81" s="10" t="inlineStr">
        <is>
          <t>Crédito inicial aprobado</t>
        </is>
      </c>
      <c r="N81" s="10" t="inlineStr">
        <is>
          <t>2026, crédito aprobado</t>
        </is>
      </c>
      <c r="O81" s="10" t="inlineStr">
        <is>
          <t>Cifra propia verificada</t>
        </is>
      </c>
      <c r="P81" s="12" t="n">
        <v>16.25992</v>
      </c>
      <c r="Q81" s="12" t="n"/>
      <c r="R81" s="10" t="inlineStr">
        <is>
          <t>Prórroga 2026: crédito inicial 16.259.920 EUR. Personal 9.801.634; bienes/servicios 4.593.865; gastos financieros 1.852.421; inversión 12.000. No reutilizar 16.496.693 EUR de ley 2025.</t>
        </is>
      </c>
      <c r="S81" s="10" t="inlineStr">
        <is>
          <t>2026, salvo indicación distinta; créditos iniciales salvo mención expresa</t>
        </is>
      </c>
      <c r="T81" s="10" t="inlineStr">
        <is>
          <t>Presupuestada 2026</t>
        </is>
      </c>
      <c r="U81" s="10" t="inlineStr">
        <is>
          <t>Juicio basado en mandato y evidencia citada, no en una auditoría de eficacia, personal ocupado o independencia práctica.</t>
        </is>
      </c>
      <c r="V81" s="10" t="inlineStr">
        <is>
          <t>No se ha identificado relación en esta revisión (no certifica ausencia)</t>
        </is>
      </c>
      <c r="W81" s="10" t="n"/>
      <c r="X81" s="10" t="inlineStr">
        <is>
          <t>Revisión cualitativa del mandato y estado de las 95 fichas; no auditoría exhaustiva de funciones ni proyectos.</t>
        </is>
      </c>
      <c r="Y81" s="10" t="n"/>
      <c r="Z81" s="10" t="inlineStr">
        <is>
          <t>https://www.boe.es/buscar/act.php?id=BOE-A-2008-8768
https://www.caib.es/sites/estadistiques/es/2026_p/
https://www.caib.es/sites/estadistiques/f/549410</t>
        </is>
      </c>
      <c r="AA81" s="12" t="n"/>
      <c r="AB81" s="10" t="n"/>
      <c r="AC81" s="10" t="n"/>
      <c r="AD81" s="10" t="n"/>
      <c r="AE81" s="13" t="inlineStr">
        <is>
          <t>https://files.instinct.com/q91pr53q4umo-entidades-publicas-poder-y-presupuesto</t>
        </is>
      </c>
      <c r="AF81" s="10" t="inlineStr">
        <is>
          <t>12/10/2026</t>
        </is>
      </c>
      <c r="AG81" s="10" t="n"/>
      <c r="AH81" s="10" t="n"/>
      <c r="AI81" s="10" t="inlineStr">
        <is>
          <t>Personas realmente ocupadas; no equiparar vocales, puestos RPT o apoyo ministerial con plantilla</t>
        </is>
      </c>
      <c r="AJ81" s="10" t="inlineStr">
        <is>
          <t>Pendiente: sin cifra de personal ocupado verificada en el conjunto actual</t>
        </is>
      </c>
      <c r="AK81" s="10" t="n"/>
      <c r="AL81" s="12" t="n">
        <v>9.801634</v>
      </c>
      <c r="AM81" s="10" t="n">
        <v>2026</v>
      </c>
      <c r="AN81" s="10" t="inlineStr">
        <is>
          <t>Capítulo 1: crédito inicial de prórroga</t>
        </is>
      </c>
      <c r="AO81" s="10" t="inlineStr">
        <is>
          <t>Coste presupuestario publicado; no nómina ejecutada</t>
        </is>
      </c>
      <c r="AP81" s="10" t="inlineStr">
        <is>
          <t>https://www.boe.es/buscar/act.php?id=BOE-A-2008-8768
https://www.caib.es/sites/estadistiques/es/2026_p/
https://www.caib.es/sites/estadistiques/f/549410</t>
        </is>
      </c>
      <c r="AQ81" s="12" t="n"/>
      <c r="AR81" s="10" t="n"/>
      <c r="AS81" s="10" t="n"/>
      <c r="AT81" s="10" t="n"/>
      <c r="AU81" s="10" t="n"/>
      <c r="AV81" s="10" t="inlineStr">
        <is>
          <t>Pendiente: no se ha verificado gasto salarial ejecutado individual en esta versión</t>
        </is>
      </c>
      <c r="AW81" s="10" t="inlineStr">
        <is>
          <t>Presupuesto propio verificado; personal y salarios ejecutados pendientes</t>
        </is>
      </c>
      <c r="AX81" s="14" t="n"/>
      <c r="AY81" s="14" t="n"/>
      <c r="AZ81" s="14" t="n"/>
      <c r="BA81" s="14" t="n"/>
      <c r="BB81" s="14" t="n"/>
      <c r="BC81" s="10" t="inlineStr">
        <is>
          <t>Revisado: ATIB: gestión e inspección</t>
        </is>
      </c>
      <c r="BD81" s="10" t="inlineStr">
        <is>
          <t>Funciones tributarias y sanción, no consulta normativa general en art2.</t>
        </is>
      </c>
      <c r="BE81" s="10" t="inlineStr">
        <is>
          <t>No consentimiento favorable ni veto legislativo establecido en las cláusulas revisadas.</t>
        </is>
      </c>
      <c r="BF81" s="10" t="inlineStr">
        <is>
          <t>Revisión limitada a las atribuciones citadas: no descarta trámites sectoriales en otras normas.</t>
        </is>
      </c>
      <c r="BG81" s="10" t="inlineStr">
        <is>
          <t>Ley3/2008 art2</t>
        </is>
      </c>
      <c r="BH81" s="10" t="inlineStr">
        <is>
          <t>https://www.boe.es/buscar/act.php?id=BOE-A-2008-8768</t>
        </is>
      </c>
      <c r="BI81" s="12" t="n"/>
      <c r="BJ81" s="12" t="n"/>
      <c r="BK81" s="12" t="n"/>
      <c r="BL81" s="12" t="n"/>
      <c r="BM81" s="10" t="n"/>
      <c r="BN81" s="10" t="n"/>
      <c r="BO81" s="12" t="n"/>
      <c r="BP81" s="12" t="n"/>
      <c r="BQ81" s="12" t="n"/>
      <c r="BR81" s="12" t="n"/>
      <c r="BS81" s="12" t="n"/>
      <c r="BT81" s="12" t="n"/>
      <c r="BU81" s="12" t="n"/>
      <c r="BV81" s="27" t="inlineStr">
        <is>
          <t>No útil</t>
        </is>
      </c>
      <c r="BW81" s="27" t="inlineStr">
        <is>
          <t>Integrar</t>
        </is>
      </c>
      <c r="BX81" s="27" t="inlineStr">
        <is>
          <t>Servicio público directo</t>
        </is>
      </c>
      <c r="BY81" s="27" t="inlineStr">
        <is>
          <t>Competencia autonómica que el Estado no presta en ese territorio; la duplicidad es de forma (agencia propia o dirección general). 12 organismos sobre este tema entre el Estado y las CCAA (verificados).</t>
        </is>
      </c>
      <c r="BZ81" s="27" t="inlineStr">
        <is>
          <t>No</t>
        </is>
      </c>
      <c r="CA81" s="27" t="inlineStr">
        <is>
          <t>Parcial</t>
        </is>
      </c>
      <c r="CB81" s="27" t="inlineStr">
        <is>
          <t>Gestiona tributos autonómicos y cedidos; el P100 quiere «una sola Agencia Tributaria» para todo el régimen común.</t>
        </is>
      </c>
      <c r="CC81" s="27" t="inlineStr">
        <is>
          <t>Explícito en el P100: Impuestos y financiación territorial 11</t>
        </is>
      </c>
      <c r="CD81" s="27" t="inlineStr">
        <is>
          <t>Agencia Estatal de Administración Tributaria (AEAT)</t>
        </is>
      </c>
      <c r="CE81" s="27" t="inlineStr">
        <is>
          <t>Agencias tributarias</t>
        </is>
      </c>
      <c r="CF81" s="28" t="n">
        <v>12</v>
      </c>
      <c r="CG81" s="12" t="n"/>
      <c r="CH81" s="29">
        <f>IF(AND(ISNUMBER(BP81),ISNUMBER(AG81),AG81&gt;0),BP81*1000000/AG81,"")</f>
        <v/>
      </c>
      <c r="CI81" s="12" t="n"/>
      <c r="CJ81" s="12" t="n"/>
      <c r="CK81" s="12" t="n"/>
      <c r="CL81" s="12" t="n"/>
      <c r="CM81" s="12" t="n"/>
      <c r="CN81" s="12" t="n"/>
      <c r="CO81" s="12" t="n"/>
      <c r="CP81" s="12" t="n"/>
      <c r="CQ81" s="12" t="n"/>
      <c r="CR81" s="12" t="n"/>
      <c r="CS81" s="12" t="n"/>
    </row>
    <row r="82">
      <c r="A82" s="10" t="n">
        <v>81</v>
      </c>
      <c r="B82" s="10" t="inlineStr">
        <is>
          <t>Autonómico</t>
        </is>
      </c>
      <c r="C82" s="10" t="inlineStr">
        <is>
          <t>Canarias</t>
        </is>
      </c>
      <c r="D82" s="10" t="inlineStr">
        <is>
          <t>Periodo Rajoy</t>
        </is>
      </c>
      <c r="E82" s="10" t="inlineStr">
        <is>
          <t>Agencia Tributaria Canaria (ATC)</t>
        </is>
      </c>
      <c r="F82" s="10" t="inlineStr">
        <is>
          <t>Nueva entidad con funciones tributarias heredadas</t>
        </is>
      </c>
      <c r="G82" s="10" t="inlineStr">
        <is>
          <t>2014-07-30</t>
        </is>
      </c>
      <c r="H82" s="10" t="inlineStr">
        <is>
          <t>Ley 7/2014</t>
        </is>
      </c>
      <c r="I82" s="10" t="inlineStr">
        <is>
          <t>Aplicación de tributos y recaudación.</t>
        </is>
      </c>
      <c r="J82" s="10" t="inlineStr">
        <is>
          <t>Poder tributario real. Hay debilidad de medios expresamente documentada: al cierre 2025, 459 de 752 puestos RPT ocupados (61,04%), según Plan 2026. No prueba entidad vacía.</t>
        </is>
      </c>
      <c r="K82" s="11" t="n">
        <v>64.227709</v>
      </c>
      <c r="L82" s="10" t="n">
        <v>2026</v>
      </c>
      <c r="M82" s="10" t="inlineStr">
        <is>
          <t>Crédito inicial aprobado</t>
        </is>
      </c>
      <c r="N82" s="10" t="inlineStr">
        <is>
          <t>2026, crédito aprobado</t>
        </is>
      </c>
      <c r="O82" s="10" t="inlineStr">
        <is>
          <t>Cifra propia verificada</t>
        </is>
      </c>
      <c r="P82" s="12" t="n">
        <v>64.227709</v>
      </c>
      <c r="Q82" s="12" t="n"/>
      <c r="R82" s="10" t="inlineStr">
        <is>
          <t>Crédito inicial 2026 64.227.709 EUR, exacto en Plan de Acción 2026. No 64.277.709 EUR que aparece en otras referencias.</t>
        </is>
      </c>
      <c r="S82" s="10" t="inlineStr">
        <is>
          <t>2026, salvo indicación distinta; créditos iniciales salvo mención expresa</t>
        </is>
      </c>
      <c r="T82" s="10" t="inlineStr">
        <is>
          <t>Operativa; Plan de Acción 2026</t>
        </is>
      </c>
      <c r="U82" s="10" t="inlineStr">
        <is>
          <t>La ocupación RPT es de cierre 2025, no plantilla vigente a octubre 2026. No equivale a cobertura de plantilla presupuestaria.</t>
        </is>
      </c>
      <c r="V82" s="10" t="inlineStr">
        <is>
          <t>No se ha identificado relación en esta revisión (no certifica ausencia)</t>
        </is>
      </c>
      <c r="W82" s="10" t="n"/>
      <c r="X82" s="10" t="inlineStr">
        <is>
          <t>Revisión cualitativa del mandato y estado de las 95 fichas; no auditoría exhaustiva de funciones ni proyectos.</t>
        </is>
      </c>
      <c r="Y82" s="10" t="n"/>
      <c r="Z82" s="10" t="inlineStr">
        <is>
          <t>https://boe.es/buscar/act.php?id=BOE-A-2014-9902
https://www3.gobiernodecanarias.org/tributos/atc/documents/65729/0/boc-a-2026-065-1087.pdf/ce37abb9-573c-7b68-2adf-487ddaf54f43?t=1776157163286</t>
        </is>
      </c>
      <c r="AA82" s="12" t="n"/>
      <c r="AB82" s="10" t="n"/>
      <c r="AC82" s="10" t="n"/>
      <c r="AD82" s="10" t="n"/>
      <c r="AE82" s="13" t="inlineStr">
        <is>
          <t>https://files.instinct.com/q91pr53q4umo-entidades-publicas-poder-y-presupuesto</t>
        </is>
      </c>
      <c r="AF82" s="10" t="inlineStr">
        <is>
          <t>12/10/2026</t>
        </is>
      </c>
      <c r="AG82" s="10" t="n"/>
      <c r="AH82" s="10" t="n"/>
      <c r="AI82" s="10" t="inlineStr">
        <is>
          <t>Personas realmente ocupadas; no equiparar vocales, puestos RPT o apoyo ministerial con plantilla</t>
        </is>
      </c>
      <c r="AJ82" s="10" t="inlineStr">
        <is>
          <t>Pendiente: sin cifra de personal ocupado verificada en el conjunto actual</t>
        </is>
      </c>
      <c r="AK82" s="10" t="n"/>
      <c r="AL82" s="12" t="n"/>
      <c r="AM82" s="10" t="n"/>
      <c r="AN82" s="10" t="n"/>
      <c r="AO82" s="10" t="inlineStr">
        <is>
          <t>Pendiente: sin coste de personal individual verificado en el conjunto actual</t>
        </is>
      </c>
      <c r="AP82" s="10" t="n"/>
      <c r="AQ82" s="12" t="n"/>
      <c r="AR82" s="10" t="n"/>
      <c r="AS82" s="10" t="n"/>
      <c r="AT82" s="10" t="n"/>
      <c r="AU82" s="10" t="n"/>
      <c r="AV82" s="10" t="inlineStr">
        <is>
          <t>Pendiente: no se ha verificado gasto salarial ejecutado individual en esta versión</t>
        </is>
      </c>
      <c r="AW82" s="10" t="inlineStr">
        <is>
          <t>Presupuesto propio verificado; personal y salarios ejecutados pendientes</t>
        </is>
      </c>
      <c r="AX82" s="14" t="n"/>
      <c r="AY82" s="14" t="n"/>
      <c r="AZ82" s="14" t="n"/>
      <c r="BA82" s="14" t="n"/>
      <c r="BB82" s="14" t="n"/>
      <c r="BC82" s="10" t="inlineStr">
        <is>
          <t>Revisado: ATCanaria informe preceptivo</t>
        </is>
      </c>
      <c r="BD82" s="10" t="inlineStr">
        <is>
          <t>Sí: proyectos tributarios iniciados por consejería competente;ConsejoCoordinación informa leyes tributarias bloqueCanario.</t>
        </is>
      </c>
      <c r="BE82" s="10" t="inlineStr">
        <is>
          <t>No se exige consentimiento favorable ni carácter vinculante del informe en la cláusula citada; no es veto.</t>
        </is>
      </c>
      <c r="BF82" s="10" t="inlineStr">
        <is>
          <t>Trámite previo en ámbito específico. Omitirlo puede generar cuestión procedimental, no veto parlamentario automático; efecto exacto requiere analizar procedimiento.</t>
        </is>
      </c>
      <c r="BG82" s="10" t="inlineStr">
        <is>
          <t>Ley7/2014 arts7g,11m,13f</t>
        </is>
      </c>
      <c r="BH82" s="10" t="inlineStr">
        <is>
          <t>https://boe.es/buscar/act.php?id=BOE-A-2014-9902</t>
        </is>
      </c>
      <c r="BI82" s="12" t="n"/>
      <c r="BJ82" s="12" t="n"/>
      <c r="BK82" s="12" t="n"/>
      <c r="BL82" s="12" t="n"/>
      <c r="BM82" s="10" t="n"/>
      <c r="BN82" s="10" t="n"/>
      <c r="BO82" s="12" t="n"/>
      <c r="BP82" s="12" t="n"/>
      <c r="BQ82" s="12" t="n"/>
      <c r="BR82" s="12" t="n"/>
      <c r="BS82" s="12" t="n"/>
      <c r="BT82" s="12" t="n"/>
      <c r="BU82" s="12" t="n"/>
      <c r="BV82" s="27" t="inlineStr">
        <is>
          <t>No útil</t>
        </is>
      </c>
      <c r="BW82" s="27" t="inlineStr">
        <is>
          <t>Integrar</t>
        </is>
      </c>
      <c r="BX82" s="27" t="inlineStr">
        <is>
          <t>Servicio público directo</t>
        </is>
      </c>
      <c r="BY82" s="27" t="inlineStr">
        <is>
          <t>Competencia autonómica que el Estado no presta en ese territorio; la duplicidad es de forma (agencia propia o dirección general). 12 organismos sobre este tema entre el Estado y las CCAA (verificados).</t>
        </is>
      </c>
      <c r="BZ82" s="27" t="inlineStr">
        <is>
          <t>No</t>
        </is>
      </c>
      <c r="CA82" s="27" t="inlineStr">
        <is>
          <t>Acreditada</t>
        </is>
      </c>
      <c r="CB82" s="27" t="inlineStr">
        <is>
          <t>Gestiona tributos autonómicos y cedidos; el P100 quiere «una sola Agencia Tributaria» para todo el régimen común.</t>
        </is>
      </c>
      <c r="CC82" s="27" t="inlineStr">
        <is>
          <t>Explícito en el P100: Impuestos y financiación territorial 11</t>
        </is>
      </c>
      <c r="CD82" s="27" t="inlineStr">
        <is>
          <t>Agencia Estatal de Administración Tributaria (AEAT)</t>
        </is>
      </c>
      <c r="CE82" s="27" t="inlineStr">
        <is>
          <t>Agencias tributarias</t>
        </is>
      </c>
      <c r="CF82" s="28" t="n">
        <v>12</v>
      </c>
      <c r="CG82" s="12" t="n"/>
      <c r="CH82" s="29">
        <f>IF(AND(ISNUMBER(BP82),ISNUMBER(AG82),AG82&gt;0),BP82*1000000/AG82,"")</f>
        <v/>
      </c>
      <c r="CI82" s="12" t="n"/>
      <c r="CJ82" s="12" t="n"/>
      <c r="CK82" s="12" t="n"/>
      <c r="CL82" s="12" t="n"/>
      <c r="CM82" s="12" t="n"/>
      <c r="CN82" s="12" t="n"/>
      <c r="CO82" s="12" t="n"/>
      <c r="CP82" s="12" t="n"/>
      <c r="CQ82" s="12" t="n"/>
      <c r="CR82" s="12" t="n"/>
      <c r="CS82" s="12" t="n"/>
    </row>
    <row r="83">
      <c r="A83" s="10" t="n">
        <v>82</v>
      </c>
      <c r="B83" s="10" t="inlineStr">
        <is>
          <t>Autonómico</t>
        </is>
      </c>
      <c r="C83" s="10" t="inlineStr">
        <is>
          <t>Cantabria</t>
        </is>
      </c>
      <c r="D83" s="10" t="inlineStr">
        <is>
          <t>Periodo Zapatero</t>
        </is>
      </c>
      <c r="E83" s="10" t="inlineStr">
        <is>
          <t>Instituto Cántabro de Servicios Sociales (ICASS)</t>
        </is>
      </c>
      <c r="F83" s="10" t="inlineStr">
        <is>
          <t>Nuevo organismo que agrupa gestión social</t>
        </is>
      </c>
      <c r="G83" s="10" t="inlineStr">
        <is>
          <t>2009-11-27</t>
        </is>
      </c>
      <c r="H83" s="10" t="inlineStr">
        <is>
          <t>Ley 3/2009</t>
        </is>
      </c>
      <c r="I83" s="10" t="inlineStr">
        <is>
          <t>Prestaciones, servicios y atención social.</t>
        </is>
      </c>
      <c r="J83" s="10" t="inlineStr">
        <is>
          <t>Gestor de servicios y recursos, poder operativo real.</t>
        </is>
      </c>
      <c r="K83" s="11" t="n"/>
      <c r="L83" s="10" t="n"/>
      <c r="M83" s="10" t="n"/>
      <c r="N83" s="10" t="n"/>
      <c r="O83" s="10" t="inlineStr">
        <is>
          <t>Sin cifra propia actual verificada</t>
        </is>
      </c>
      <c r="P83" s="12" t="n"/>
      <c r="Q83" s="12" t="n"/>
      <c r="R83" s="10" t="inlineStr">
        <is>
          <t>Importe definitivo individual 2026 no verificado. Comparecencia sobre proyecto cita 320.133.501 EUR, NO se presenta como presupuesto aprobado. Ley 4/2026 lo integra en sección 16; 328.239.959 EUR de política social NO es presupuesto ICASS.</t>
        </is>
      </c>
      <c r="S83" s="10" t="inlineStr">
        <is>
          <t>2026, salvo indicación distinta; créditos iniciales salvo mención expresa</t>
        </is>
      </c>
      <c r="T83" s="10" t="inlineStr">
        <is>
          <t>Incluido en presupuesto aprobado 2026</t>
        </is>
      </c>
      <c r="U83" s="10" t="inlineStr">
        <is>
          <t>Juicio basado en mandato y evidencia citada, no en una auditoría de eficacia, personal ocupado o independencia práctica.</t>
        </is>
      </c>
      <c r="V83" s="10" t="inlineStr">
        <is>
          <t>No se ha identificado relación en esta revisión (no certifica ausencia)</t>
        </is>
      </c>
      <c r="W83" s="10" t="n"/>
      <c r="X83" s="10" t="inlineStr">
        <is>
          <t>Revisión cualitativa del mandato y estado de las 95 fichas; no auditoría exhaustiva de funciones ni proyectos.</t>
        </is>
      </c>
      <c r="Y83" s="10" t="n"/>
      <c r="Z83" s="10" t="inlineStr">
        <is>
          <t>https://www.boe.es/eli/es-cb/l/2009/11/27/3
https://www.boe.es/diario_boe/txt.php?id=BOE-A-2026-9962
https://www.cantabria.es/web/comunicados/w/inclusi%C3%B3n-social-comparecencia-parlamento-presupuesto-2026</t>
        </is>
      </c>
      <c r="AA83" s="12" t="n">
        <v>320.133501</v>
      </c>
      <c r="AB83" s="10" t="inlineStr">
        <is>
          <t>Proyecto 2026</t>
        </is>
      </c>
      <c r="AC83" s="10" t="inlineStr">
        <is>
          <t>Proyecto; NO presupuesto aprobado</t>
        </is>
      </c>
      <c r="AD83" s="10" t="inlineStr">
        <is>
          <t>ICASS (proyecto)</t>
        </is>
      </c>
      <c r="AE83" s="13" t="inlineStr">
        <is>
          <t>https://files.instinct.com/q91pr53q4umo-entidades-publicas-poder-y-presupuesto</t>
        </is>
      </c>
      <c r="AF83" s="10" t="inlineStr">
        <is>
          <t>12/10/2026</t>
        </is>
      </c>
      <c r="AG83" s="10" t="n"/>
      <c r="AH83" s="10" t="n"/>
      <c r="AI83" s="10" t="inlineStr">
        <is>
          <t>Personas realmente ocupadas; no equiparar vocales, puestos RPT o apoyo ministerial con plantilla</t>
        </is>
      </c>
      <c r="AJ83" s="10" t="inlineStr">
        <is>
          <t>Pendiente: sin cifra de personal ocupado verificada en el conjunto actual</t>
        </is>
      </c>
      <c r="AK83" s="10" t="n"/>
      <c r="AL83" s="12" t="n"/>
      <c r="AM83" s="10" t="n"/>
      <c r="AN83" s="10" t="n"/>
      <c r="AO83" s="10" t="inlineStr">
        <is>
          <t>Pendiente: sin coste de personal individual verificado en el conjunto actual</t>
        </is>
      </c>
      <c r="AP83" s="10" t="n"/>
      <c r="AQ83" s="12" t="n"/>
      <c r="AR83" s="10" t="n"/>
      <c r="AS83" s="10" t="n"/>
      <c r="AT83" s="10" t="n"/>
      <c r="AU83" s="10" t="n"/>
      <c r="AV83" s="10" t="inlineStr">
        <is>
          <t>Pendiente: no se ha verificado gasto salarial ejecutado individual en esta versión</t>
        </is>
      </c>
      <c r="AW83" s="10" t="inlineStr">
        <is>
          <t>SIN CIFRA INDIVIDUAL VERIFICADA de presupuesto, personal ocupado y salarios ejecutados; investigación pendiente, no prueba de falta de publicación</t>
        </is>
      </c>
      <c r="AX83" s="14" t="n"/>
      <c r="AY83" s="14" t="n"/>
      <c r="AZ83" s="14" t="n"/>
      <c r="BA83" s="14" t="n"/>
      <c r="BB83" s="14" t="n"/>
      <c r="BC83" s="10" t="inlineStr">
        <is>
          <t>Revisado: ICASS: gestión servicios sociales</t>
        </is>
      </c>
      <c r="BD83" s="10" t="inlineStr">
        <is>
          <t>Art3: centros, prestaciones, discapacidad/dependencia y programas; no trámite general de leyes.</t>
        </is>
      </c>
      <c r="BE83" s="10" t="inlineStr">
        <is>
          <t>No consentimiento favorable ni veto legislativo establecido en las cláusulas revisadas.</t>
        </is>
      </c>
      <c r="BF83" s="10" t="inlineStr">
        <is>
          <t>Revisión limitada a las atribuciones citadas: no descarta trámites sectoriales en otras normas.</t>
        </is>
      </c>
      <c r="BG83" s="10" t="inlineStr">
        <is>
          <t>Ley3/2009 art3</t>
        </is>
      </c>
      <c r="BH83" s="10" t="inlineStr">
        <is>
          <t>https://www.boe.es/eli/es-cb/l/2009/11/27/3</t>
        </is>
      </c>
      <c r="BI83" s="12" t="n"/>
      <c r="BJ83" s="12" t="n"/>
      <c r="BK83" s="12" t="n"/>
      <c r="BL83" s="12" t="n"/>
      <c r="BM83" s="10" t="n"/>
      <c r="BN83" s="10" t="n"/>
      <c r="BO83" s="12" t="n"/>
      <c r="BP83" s="12" t="n"/>
      <c r="BQ83" s="12" t="n"/>
      <c r="BR83" s="12" t="n"/>
      <c r="BS83" s="12" t="n"/>
      <c r="BT83" s="12" t="n"/>
      <c r="BU83" s="12" t="n"/>
      <c r="BV83" s="27" t="inlineStr">
        <is>
          <t>Útil</t>
        </is>
      </c>
      <c r="BW83" s="27" t="inlineStr">
        <is>
          <t>Mantener</t>
        </is>
      </c>
      <c r="BX83" s="27" t="inlineStr">
        <is>
          <t>Servicio público directo</t>
        </is>
      </c>
      <c r="BY83" s="12" t="n"/>
      <c r="BZ83" s="27" t="inlineStr">
        <is>
          <t>No</t>
        </is>
      </c>
      <c r="CA83" s="27" t="inlineStr">
        <is>
          <t>Parcial</t>
        </is>
      </c>
      <c r="CB83" s="27" t="inlineStr">
        <is>
          <t>Presta servicios sociales; el P100 fija reglas comunes, pero no vacía la competencia.</t>
        </is>
      </c>
      <c r="CC83" s="27" t="inlineStr">
        <is>
          <t>Aplicando el criterio del P100: Servicio directo</t>
        </is>
      </c>
      <c r="CD83" s="12" t="n"/>
      <c r="CE83" s="27" t="inlineStr">
        <is>
          <t>Servicios sociales</t>
        </is>
      </c>
      <c r="CF83" s="12" t="n"/>
      <c r="CG83" s="12" t="n"/>
      <c r="CH83" s="29">
        <f>IF(AND(ISNUMBER(BP83),ISNUMBER(AG83),AG83&gt;0),BP83*1000000/AG83,"")</f>
        <v/>
      </c>
      <c r="CI83" s="12" t="n"/>
      <c r="CJ83" s="12" t="n"/>
      <c r="CK83" s="12" t="n"/>
      <c r="CL83" s="12" t="n"/>
      <c r="CM83" s="12" t="n"/>
      <c r="CN83" s="12" t="n"/>
      <c r="CO83" s="12" t="n"/>
      <c r="CP83" s="12" t="n"/>
      <c r="CQ83" s="12" t="n"/>
      <c r="CR83" s="12" t="n"/>
      <c r="CS83" s="12" t="n"/>
    </row>
    <row r="84">
      <c r="A84" s="10" t="n">
        <v>83</v>
      </c>
      <c r="B84" s="10" t="inlineStr">
        <is>
          <t>Autonómico</t>
        </is>
      </c>
      <c r="C84" s="10" t="inlineStr">
        <is>
          <t>Cantabria</t>
        </is>
      </c>
      <c r="D84" s="10" t="inlineStr">
        <is>
          <t>Periodo Zapatero</t>
        </is>
      </c>
      <c r="E84" s="10" t="inlineStr">
        <is>
          <t>Instituto Cántabro de Seguridad y Salud en el Trabajo (ICASST)</t>
        </is>
      </c>
      <c r="F84" s="10" t="inlineStr">
        <is>
          <t>Nuevo organismo</t>
        </is>
      </c>
      <c r="G84" s="10" t="inlineStr">
        <is>
          <t>2008-12-19</t>
        </is>
      </c>
      <c r="H84" s="10" t="inlineStr">
        <is>
          <t>Ley 5/2008</t>
        </is>
      </c>
      <c r="I84" s="10" t="inlineStr">
        <is>
          <t>Prevención de riesgos laborales, estudios y asistencia técnica.</t>
        </is>
      </c>
      <c r="J84" s="10" t="inlineStr">
        <is>
          <t>Función técnica y preventiva; no atribuirle automáticamente potestades de la Inspección de Trabajo.</t>
        </is>
      </c>
      <c r="K84" s="11" t="n">
        <v>4.161665</v>
      </c>
      <c r="L84" s="10" t="n">
        <v>2026</v>
      </c>
      <c r="M84" s="10" t="inlineStr">
        <is>
          <t>Presupuesto propio aprobado</t>
        </is>
      </c>
      <c r="N84" s="10" t="inlineStr">
        <is>
          <t>2026, crédito aprobado</t>
        </is>
      </c>
      <c r="O84" s="10" t="inlineStr">
        <is>
          <t>Cifra propia verificada</t>
        </is>
      </c>
      <c r="P84" s="12" t="n">
        <v>4.161665</v>
      </c>
      <c r="Q84" s="12" t="n"/>
      <c r="R84" s="10" t="inlineStr">
        <is>
          <t>Presupuesto limitativo 2026: 4.161.665 EUR, Ley 4/2026 art.2.Dos.</t>
        </is>
      </c>
      <c r="S84" s="10" t="inlineStr">
        <is>
          <t>2026, salvo indicación distinta; créditos iniciales salvo mención expresa</t>
        </is>
      </c>
      <c r="T84" s="10" t="inlineStr">
        <is>
          <t>Presupuestado 2026</t>
        </is>
      </c>
      <c r="U84" s="10" t="inlineStr">
        <is>
          <t>Juicio basado en mandato y evidencia citada, no en una auditoría de eficacia, personal ocupado o independencia práctica.</t>
        </is>
      </c>
      <c r="V84" s="10" t="inlineStr">
        <is>
          <t>No se ha identificado relación en esta revisión (no certifica ausencia)</t>
        </is>
      </c>
      <c r="W84" s="10" t="n"/>
      <c r="X84" s="10" t="inlineStr">
        <is>
          <t>Revisión cualitativa del mandato y estado de las 95 fichas; no auditoría exhaustiva de funciones ni proyectos.</t>
        </is>
      </c>
      <c r="Y84" s="10" t="n"/>
      <c r="Z84" s="10" t="inlineStr">
        <is>
          <t>https://www.boe.es/buscar/act.php?id=BOE-A-2009-1173
https://www.boe.es/diario_boe/txt.php?id=BOE-A-2026-9962</t>
        </is>
      </c>
      <c r="AA84" s="12" t="n"/>
      <c r="AB84" s="10" t="n"/>
      <c r="AC84" s="10" t="n"/>
      <c r="AD84" s="10" t="n"/>
      <c r="AE84" s="13" t="inlineStr">
        <is>
          <t>https://files.instinct.com/q91pr53q4umo-entidades-publicas-poder-y-presupuesto</t>
        </is>
      </c>
      <c r="AF84" s="10" t="inlineStr">
        <is>
          <t>12/10/2026</t>
        </is>
      </c>
      <c r="AG84" s="10" t="n"/>
      <c r="AH84" s="10" t="n"/>
      <c r="AI84" s="10" t="inlineStr">
        <is>
          <t>Personas realmente ocupadas; no equiparar vocales, puestos RPT o apoyo ministerial con plantilla</t>
        </is>
      </c>
      <c r="AJ84" s="10" t="inlineStr">
        <is>
          <t>Pendiente: sin cifra de personal ocupado verificada en el conjunto actual</t>
        </is>
      </c>
      <c r="AK84" s="10" t="n"/>
      <c r="AL84" s="12" t="n"/>
      <c r="AM84" s="10" t="n"/>
      <c r="AN84" s="10" t="n"/>
      <c r="AO84" s="10" t="inlineStr">
        <is>
          <t>Pendiente: sin coste de personal individual verificado en el conjunto actual</t>
        </is>
      </c>
      <c r="AP84" s="10" t="n"/>
      <c r="AQ84" s="12" t="n"/>
      <c r="AR84" s="10" t="n"/>
      <c r="AS84" s="10" t="n"/>
      <c r="AT84" s="10" t="n"/>
      <c r="AU84" s="10" t="n"/>
      <c r="AV84" s="10" t="inlineStr">
        <is>
          <t>Pendiente: no se ha verificado gasto salarial ejecutado individual en esta versión</t>
        </is>
      </c>
      <c r="AW84" s="10" t="inlineStr">
        <is>
          <t>Presupuesto propio verificado; personal y salarios ejecutados pendientes</t>
        </is>
      </c>
      <c r="AX84" s="14" t="n"/>
      <c r="AY84" s="14" t="n"/>
      <c r="AZ84" s="14" t="n"/>
      <c r="BA84" s="14" t="n"/>
      <c r="BB84" s="14" t="n"/>
      <c r="BC84" s="10" t="inlineStr">
        <is>
          <t>Revisado: ICASST consejoasesor</t>
        </is>
      </c>
      <c r="BD84" s="10" t="inlineStr">
        <is>
          <t>Informar EN SU CASO proyectos normativosseguridad/saludlaboral; no toda ley ni consentimiento.</t>
        </is>
      </c>
      <c r="BE84" s="10" t="inlineStr">
        <is>
          <t>No se exige consentimiento favorable ni carácter vinculante del informe en la cláusula citada; no es veto.</t>
        </is>
      </c>
      <c r="BF84" s="10" t="inlineStr">
        <is>
          <t>Consejo participativo de órgano técnico; no veto identificado enart10.</t>
        </is>
      </c>
      <c r="BG84" s="10" t="inlineStr">
        <is>
          <t>Ley5/2008 art10a,b; consejoautonómico art19 distinto</t>
        </is>
      </c>
      <c r="BH84" s="10" t="inlineStr">
        <is>
          <t>https://www.boe.es/buscar/act.php?id=BOE-A-2009-1173</t>
        </is>
      </c>
      <c r="BI84" s="12" t="n"/>
      <c r="BJ84" s="12" t="n"/>
      <c r="BK84" s="12" t="n"/>
      <c r="BL84" s="12" t="n"/>
      <c r="BM84" s="10" t="n"/>
      <c r="BN84" s="10" t="n"/>
      <c r="BO84" s="12" t="n"/>
      <c r="BP84" s="12" t="n"/>
      <c r="BQ84" s="12" t="n"/>
      <c r="BR84" s="12" t="n"/>
      <c r="BS84" s="12" t="n"/>
      <c r="BT84" s="12" t="n"/>
      <c r="BU84" s="12" t="n"/>
      <c r="BV84" s="27" t="inlineStr">
        <is>
          <t>No útil</t>
        </is>
      </c>
      <c r="BW84" s="27" t="inlineStr">
        <is>
          <t>Integrar</t>
        </is>
      </c>
      <c r="BX84" s="27" t="inlineStr">
        <is>
          <t>Servicio público directo</t>
        </is>
      </c>
      <c r="BY84" s="27" t="inlineStr">
        <is>
          <t>Paralelo a INSST: cada nivel actúa con sus propios fondos o competencias. 13 organismos sobre este tema entre el Estado y las CCAA (verificados).</t>
        </is>
      </c>
      <c r="BZ84" s="27" t="inlineStr">
        <is>
          <t>No</t>
        </is>
      </c>
      <c r="CA84" s="27" t="inlineStr">
        <is>
          <t>Parcial</t>
        </is>
      </c>
      <c r="CB84" s="27" t="inlineStr">
        <is>
          <t>Prevención de riesgos laborales: asistencia técnica que puede prestar la consejería.</t>
        </is>
      </c>
      <c r="CC84" s="27" t="inlineStr">
        <is>
          <t>Aplicando el criterio del P100: Costes del Estado 9 (aplicado a las CCAA)</t>
        </is>
      </c>
      <c r="CD84" s="27" t="inlineStr">
        <is>
          <t>Consejería autonómica competente (con el Instituto Nacional de Seguridad y Salud en el Trabajo, INSST, como referencia técnica)</t>
        </is>
      </c>
      <c r="CE84" s="27" t="inlineStr">
        <is>
          <t>Institutos de seguridad y salud laboral</t>
        </is>
      </c>
      <c r="CF84" s="28" t="n">
        <v>13</v>
      </c>
      <c r="CG84" s="12" t="n"/>
      <c r="CH84" s="29">
        <f>IF(AND(ISNUMBER(BP84),ISNUMBER(AG84),AG84&gt;0),BP84*1000000/AG84,"")</f>
        <v/>
      </c>
      <c r="CI84" s="12" t="n"/>
      <c r="CJ84" s="12" t="n"/>
      <c r="CK84" s="12" t="n"/>
      <c r="CL84" s="12" t="n"/>
      <c r="CM84" s="12" t="n"/>
      <c r="CN84" s="12" t="n"/>
      <c r="CO84" s="12" t="n"/>
      <c r="CP84" s="12" t="n"/>
      <c r="CQ84" s="12" t="n"/>
      <c r="CR84" s="12" t="n"/>
      <c r="CS84" s="12" t="n"/>
    </row>
    <row r="85">
      <c r="A85" s="10" t="n">
        <v>84</v>
      </c>
      <c r="B85" s="10" t="inlineStr">
        <is>
          <t>Autonómico</t>
        </is>
      </c>
      <c r="C85" s="10" t="inlineStr">
        <is>
          <t>Castilla-La Mancha</t>
        </is>
      </c>
      <c r="D85" s="10" t="inlineStr">
        <is>
          <t>Periodo Zapatero</t>
        </is>
      </c>
      <c r="E85" s="10" t="inlineStr">
        <is>
          <t>Agencia del Agua de Castilla-La Mancha</t>
        </is>
      </c>
      <c r="F85" s="10" t="inlineStr">
        <is>
          <t>Nueva entidad con competencias e instrumentos preexistentes</t>
        </is>
      </c>
      <c r="G85" s="10" t="inlineStr">
        <is>
          <t>2009-12-17</t>
        </is>
      </c>
      <c r="H85" s="10" t="inlineStr">
        <is>
          <t>Ley 6/2009</t>
        </is>
      </c>
      <c r="I85" s="10" t="inlineStr">
        <is>
          <t>Planificación y gestión de políticas de agua y coordinación de infraestructuras.</t>
        </is>
      </c>
      <c r="J85" s="10" t="inlineStr">
        <is>
          <t>Poder de gestión sectorial real; no equivale a controlar competencias estatales de cuenca.</t>
        </is>
      </c>
      <c r="K85" s="11" t="n"/>
      <c r="L85" s="10" t="n"/>
      <c r="M85" s="10" t="n"/>
      <c r="N85" s="10" t="n"/>
      <c r="O85" s="10" t="inlineStr">
        <is>
          <t>Sin cifra propia actual verificada</t>
        </is>
      </c>
      <c r="P85" s="12" t="n"/>
      <c r="Q85" s="12" t="n"/>
      <c r="R85" s="10" t="inlineStr">
        <is>
          <t>No se ha verificado una dotación propia actual. No equivale a cero EUR ni se le atribuye el presupuesto de la consejería.</t>
        </is>
      </c>
      <c r="S85" s="10" t="inlineStr">
        <is>
          <t>2026, salvo indicación distinta; créditos iniciales salvo mención expresa</t>
        </is>
      </c>
      <c r="T85" s="10" t="inlineStr">
        <is>
          <t>Norma de creación acreditada; algunas disposiciones originales derogadas; alcance vigente requiere texto consolidado completo</t>
        </is>
      </c>
      <c r="U85" s="10" t="inlineStr">
        <is>
          <t>Juicio basado en mandato y evidencia citada, no en una auditoría de eficacia, personal ocupado o independencia práctica.</t>
        </is>
      </c>
      <c r="V85" s="10" t="inlineStr">
        <is>
          <t>Ámbito compartido; jurisdicciones distintas</t>
        </is>
      </c>
      <c r="W85" s="10" t="inlineStr">
        <is>
          <t>37, 38</t>
        </is>
      </c>
      <c r="X85" s="10" t="inlineStr">
        <is>
          <t>Políticas y gestión de aguas en demarcaciones y ámbito autonómico diferentes. No identidad de territorio ni duplicación presupuestaria demostrada.</t>
        </is>
      </c>
      <c r="Y85" s="10" t="inlineStr">
        <is>
          <t>https://www.boe.es/eli/es/rd/2008/02/22/266/con
https://www.igae.pap.hacienda.gob.es/sitios/igae/es-ES/Contabilidad/ContabilidadPublica/CPE/EjecucionPresupuestaria/Documents/ORGANISMOS%2008.%202026.pdf
https://www.boe.es/eli/es-cm/l/2009/12/17/6</t>
        </is>
      </c>
      <c r="Z85" s="10" t="inlineStr">
        <is>
          <t>https://www.boe.es/eli/es-cm/l/2009/12/17/6</t>
        </is>
      </c>
      <c r="AA85" s="12" t="n"/>
      <c r="AB85" s="10" t="n"/>
      <c r="AC85" s="10" t="n"/>
      <c r="AD85" s="10" t="n"/>
      <c r="AE85" s="13" t="inlineStr">
        <is>
          <t>https://files.instinct.com/q91pr53q4umo-entidades-publicas-poder-y-presupuesto</t>
        </is>
      </c>
      <c r="AF85" s="10" t="inlineStr">
        <is>
          <t>12/10/2026</t>
        </is>
      </c>
      <c r="AG85" s="10" t="n"/>
      <c r="AH85" s="10" t="n"/>
      <c r="AI85" s="10" t="inlineStr">
        <is>
          <t>Personas realmente ocupadas; no equiparar vocales, puestos RPT o apoyo ministerial con plantilla</t>
        </is>
      </c>
      <c r="AJ85" s="10" t="inlineStr">
        <is>
          <t>Pendiente: sin cifra de personal ocupado verificada en el conjunto actual</t>
        </is>
      </c>
      <c r="AK85" s="10" t="n"/>
      <c r="AL85" s="12" t="n"/>
      <c r="AM85" s="10" t="n"/>
      <c r="AN85" s="10" t="n"/>
      <c r="AO85" s="10" t="inlineStr">
        <is>
          <t>Pendiente: sin coste de personal individual verificado en el conjunto actual</t>
        </is>
      </c>
      <c r="AP85" s="10" t="n"/>
      <c r="AQ85" s="12" t="n"/>
      <c r="AR85" s="10" t="n"/>
      <c r="AS85" s="10" t="n"/>
      <c r="AT85" s="10" t="n"/>
      <c r="AU85" s="10" t="n"/>
      <c r="AV85" s="10" t="inlineStr">
        <is>
          <t>Pendiente: no se ha verificado gasto salarial ejecutado individual en esta versión</t>
        </is>
      </c>
      <c r="AW85" s="10" t="inlineStr">
        <is>
          <t>SIN CIFRA INDIVIDUAL VERIFICADA de presupuesto, personal ocupado y salarios ejecutados; investigación pendiente, no prueba de falta de publicación</t>
        </is>
      </c>
      <c r="AX85" s="14" t="n"/>
      <c r="AY85" s="14" t="n"/>
      <c r="AZ85" s="14" t="n"/>
      <c r="BA85" s="14" t="n"/>
      <c r="BB85" s="14" t="n"/>
      <c r="BC85" s="10" t="inlineStr">
        <is>
          <t>Revisado: AgenciaAguaCLM: informes sectoriales</t>
        </is>
      </c>
      <c r="BD85" s="10" t="inlineStr">
        <is>
          <t>Informes cesión derechos de uso agua y concertacióninteradministrativa urbanística; no consentimiento general a leyes.</t>
        </is>
      </c>
      <c r="BE85" s="10" t="inlineStr">
        <is>
          <t>No consentimiento favorable ni veto legislativo establecido en las cláusulas revisadas.</t>
        </is>
      </c>
      <c r="BF85" s="10" t="inlineStr">
        <is>
          <t>Revisión limitada a las atribuciones citadas: no descarta trámites sectoriales en otras normas.</t>
        </is>
      </c>
      <c r="BG85" s="10" t="inlineStr">
        <is>
          <t>Ley6/2009 art2.2i,j</t>
        </is>
      </c>
      <c r="BH85" s="10" t="inlineStr">
        <is>
          <t>https://www.boe.es/eli/es-cm/l/2009/12/17/6</t>
        </is>
      </c>
      <c r="BI85" s="12" t="n"/>
      <c r="BJ85" s="12" t="n"/>
      <c r="BK85" s="12" t="n"/>
      <c r="BL85" s="12" t="n"/>
      <c r="BM85" s="10" t="n"/>
      <c r="BN85" s="10" t="n"/>
      <c r="BO85" s="12" t="n"/>
      <c r="BP85" s="12" t="n"/>
      <c r="BQ85" s="12" t="n"/>
      <c r="BR85" s="12" t="n"/>
      <c r="BS85" s="12" t="n"/>
      <c r="BT85" s="12" t="n"/>
      <c r="BU85" s="12" t="n"/>
      <c r="BV85" s="27" t="inlineStr">
        <is>
          <t>Extinguida</t>
        </is>
      </c>
      <c r="BW85" s="27" t="inlineStr">
        <is>
          <t>Extinguida</t>
        </is>
      </c>
      <c r="BX85" s="27" t="inlineStr">
        <is>
          <t>Extinguida o no constituida</t>
        </is>
      </c>
      <c r="BY85" s="12" t="n"/>
      <c r="BZ85" s="27" t="inlineStr">
        <is>
          <t>No</t>
        </is>
      </c>
      <c r="CA85" s="27" t="inlineStr">
        <is>
          <t>No aplica (no vigente)</t>
        </is>
      </c>
      <c r="CB85" s="27" t="inlineStr">
        <is>
          <t>Suprimida por Ley 1/2026 de Castilla-La Mancha; funciones a la Consejería.</t>
        </is>
      </c>
      <c r="CC85" s="12" t="n"/>
      <c r="CD85" s="12" t="n"/>
      <c r="CE85" s="27" t="inlineStr">
        <is>
          <t>Agua (autonómica)</t>
        </is>
      </c>
      <c r="CF85" s="12" t="n"/>
      <c r="CG85" s="12" t="n"/>
      <c r="CH85" s="29">
        <f>IF(AND(ISNUMBER(BP85),ISNUMBER(AG85),AG85&gt;0),BP85*1000000/AG85,"")</f>
        <v/>
      </c>
      <c r="CI85" s="12" t="n"/>
      <c r="CJ85" s="12" t="n"/>
      <c r="CK85" s="12" t="n"/>
      <c r="CL85" s="12" t="n"/>
      <c r="CM85" s="12" t="n"/>
      <c r="CN85" s="12" t="n"/>
      <c r="CO85" s="12" t="n"/>
      <c r="CP85" s="12" t="n"/>
      <c r="CQ85" s="12" t="n"/>
      <c r="CR85" s="12" t="n"/>
      <c r="CS85" s="12" t="n"/>
    </row>
    <row r="86">
      <c r="A86" s="10" t="n">
        <v>85</v>
      </c>
      <c r="B86" s="10" t="inlineStr">
        <is>
          <t>Autonómico</t>
        </is>
      </c>
      <c r="C86" s="10" t="inlineStr">
        <is>
          <t>Castilla y León</t>
        </is>
      </c>
      <c r="D86" s="10" t="inlineStr">
        <is>
          <t>Periodo Zapatero</t>
        </is>
      </c>
      <c r="E86" s="10" t="inlineStr">
        <is>
          <t>Observatorio para la Convivencia Escolar</t>
        </is>
      </c>
      <c r="F86" s="10" t="inlineStr">
        <is>
          <t>Órgano consultivo; integrado posteriormente en observatorio general</t>
        </is>
      </c>
      <c r="G86" s="10" t="inlineStr">
        <is>
          <t>2006-02-16</t>
        </is>
      </c>
      <c r="H86" s="10" t="inlineStr">
        <is>
          <t>Decreto 8/2006; reorganización Decreto 52/2014</t>
        </is>
      </c>
      <c r="I86" s="10" t="inlineStr">
        <is>
          <t>Estudiar convivencia escolar y proponer medidas.</t>
        </is>
      </c>
      <c r="J86" s="10" t="inlineStr">
        <is>
          <t>Consultivo, sin sanción. Actividad histórica acreditada: 13 plenos hasta 2014. Integración no prueba desaparición de función.</t>
        </is>
      </c>
      <c r="K86" s="11" t="n"/>
      <c r="L86" s="10" t="n"/>
      <c r="M86" s="10" t="n"/>
      <c r="N86" s="10" t="n"/>
      <c r="O86" s="10" t="inlineStr">
        <is>
          <t>Sin cifra propia actual verificada</t>
        </is>
      </c>
      <c r="P86" s="12" t="n"/>
      <c r="Q86" s="12" t="n"/>
      <c r="R86" s="10" t="inlineStr">
        <is>
          <t>Sin dotación propia actual verificada; funciones reubicadas. No cero EUR.</t>
        </is>
      </c>
      <c r="S86" s="10" t="inlineStr">
        <is>
          <t>2026, salvo indicación distinta; créditos iniciales salvo mención expresa</t>
        </is>
      </c>
      <c r="T86" s="10" t="inlineStr">
        <is>
          <t>Desde 2014, sección de convivencia del Observatorio de la Comunidad; no contar como órgano original intacto</t>
        </is>
      </c>
      <c r="U86" s="10" t="inlineStr">
        <is>
          <t>Juicio basado en mandato y evidencia citada, no en una auditoría de eficacia, personal ocupado o independencia práctica.</t>
        </is>
      </c>
      <c r="V86" s="10" t="inlineStr">
        <is>
          <t>Mandato paralelo en distinto nivel territorial</t>
        </is>
      </c>
      <c r="W86" s="10" t="inlineStr">
        <is>
          <t>8, 88</t>
        </is>
      </c>
      <c r="X86" s="10" t="inlineStr">
        <is>
          <t>Convivencia escolar: órgano estatal y dos autonómicos. Diferentes jurisdicciones; no prueba de gasto duplicado. Ficha 85 reubicada desde 2014.</t>
        </is>
      </c>
      <c r="Y86" s="10" t="inlineStr">
        <is>
          <t>https://www.boe.es/eli/es/rd/2007/02/23/275
https://www.educacionfpydeportes.gob.es/mc/sgctie/convivencia-escolar/observatorio.html
https://boe.es/boe/dias/2025/11/15/pdfs/BOE-A-2025-23138.pdf
https://www.educa.jcyl.es/convivenciaescolar/es/observatorio-convivencia-escolar/antecedentes-observatorio-convivencia-escolar-castilla-leon
https://recursos.educarex.es/pdf/normativa-sg/Decreto_28-2007.pdf</t>
        </is>
      </c>
      <c r="Z86" s="30" t="inlineStr">
        <is>
          <t>https://www.educa.jcyl.es/convivenciaescolar/es/observatorio-convivencia-escolar/antecedentes-observatorio-convivencia-escolar-castilla-leon
https://sirdoc.ccyl.es/Biblioteca/Dosieres/DL203AtencionViolenciaGenero/pdfs/CyL-Decreto-52-2014-Observatorio.pdf</t>
        </is>
      </c>
      <c r="AA86" s="12" t="n"/>
      <c r="AB86" s="10" t="n"/>
      <c r="AC86" s="10" t="n"/>
      <c r="AD86" s="10" t="n"/>
      <c r="AE86" s="13" t="inlineStr">
        <is>
          <t>https://files.instinct.com/q91pr53q4umo-entidades-publicas-poder-y-presupuesto</t>
        </is>
      </c>
      <c r="AF86" s="10" t="inlineStr">
        <is>
          <t>12/10/2026</t>
        </is>
      </c>
      <c r="AG86" s="10" t="n"/>
      <c r="AH86" s="10" t="n"/>
      <c r="AI86" s="10" t="inlineStr">
        <is>
          <t>Personas realmente ocupadas; no equiparar vocales, puestos RPT o apoyo ministerial con plantilla</t>
        </is>
      </c>
      <c r="AJ86" s="10" t="inlineStr">
        <is>
          <t>Pendiente: sin cifra de personal ocupado verificada en el conjunto actual</t>
        </is>
      </c>
      <c r="AK86" s="10" t="n"/>
      <c r="AL86" s="12" t="n"/>
      <c r="AM86" s="10" t="n"/>
      <c r="AN86" s="10" t="n"/>
      <c r="AO86" s="10" t="inlineStr">
        <is>
          <t>Pendiente: sin coste de personal individual verificado en el conjunto actual</t>
        </is>
      </c>
      <c r="AP86" s="10" t="n"/>
      <c r="AQ86" s="12" t="n"/>
      <c r="AR86" s="10" t="n"/>
      <c r="AS86" s="10" t="n"/>
      <c r="AT86" s="10" t="n"/>
      <c r="AU86" s="10" t="n"/>
      <c r="AV86" s="10" t="inlineStr">
        <is>
          <t>Pendiente: no se ha verificado gasto salarial ejecutado individual en esta versión</t>
        </is>
      </c>
      <c r="AW86" s="10" t="inlineStr">
        <is>
          <t>SIN CIFRA INDIVIDUAL VERIFICADA de presupuesto, personal ocupado y salarios ejecutados; investigación pendiente, no prueba de falta de publicación</t>
        </is>
      </c>
      <c r="AX86" s="14" t="n"/>
      <c r="AY86" s="14" t="n"/>
      <c r="AZ86" s="14" t="n"/>
      <c r="BA86" s="14" t="n"/>
      <c r="BB86" s="14" t="n"/>
      <c r="BC86" s="10" t="inlineStr">
        <is>
          <t>Revisado: convivenciaCyL, sección consultiva</t>
        </is>
      </c>
      <c r="BD86" s="10" t="inlineStr">
        <is>
          <t>Decreto2014 art3: estudios, asesoramiento, propuestas e informe anual. Art7 lo aplica secciónconvivencia. Norma2006 derogada; no informe legislativo general identificado.</t>
        </is>
      </c>
      <c r="BE86" s="10" t="inlineStr">
        <is>
          <t>No veto parlamentario ni consentimiento favorable general establecido en las cláusulas revisadas.</t>
        </is>
      </c>
      <c r="BF86" s="10" t="inlineStr">
        <is>
          <t>Alcance limitado a norma y atribuciones citadas; no descarta reglas sectoriales adicionales.</t>
        </is>
      </c>
      <c r="BG86" s="10" t="inlineStr">
        <is>
          <t>Decreto52/2014 arts3,7 y disposiciónderogatoria</t>
        </is>
      </c>
      <c r="BH86" s="10" t="inlineStr">
        <is>
          <t>https://sirdoc.ccyl.es/Biblioteca/Dosieres/DL203AtencionViolenciaGenero/pdfs/CyL-Decreto-52-2014-Observatorio.pdf</t>
        </is>
      </c>
      <c r="BI86" s="12" t="n"/>
      <c r="BJ86" s="12" t="n"/>
      <c r="BK86" s="12" t="n"/>
      <c r="BL86" s="12" t="n"/>
      <c r="BM86" s="10" t="n"/>
      <c r="BN86" s="10" t="n"/>
      <c r="BO86" s="12" t="n"/>
      <c r="BP86" s="12" t="n"/>
      <c r="BQ86" s="12" t="n"/>
      <c r="BR86" s="12" t="n"/>
      <c r="BS86" s="12" t="n"/>
      <c r="BT86" s="12" t="n"/>
      <c r="BU86" s="12" t="n"/>
      <c r="BV86" s="27" t="inlineStr">
        <is>
          <t>No útil</t>
        </is>
      </c>
      <c r="BW86" s="27" t="inlineStr">
        <is>
          <t>Suprimir</t>
        </is>
      </c>
      <c r="BX86" s="27" t="inlineStr">
        <is>
          <t>Consultivo o participación</t>
        </is>
      </c>
      <c r="BY86" s="27" t="inlineStr">
        <is>
          <t>Paralelo a Observatorio Estatal: cada nivel actúa con sus propios fondos o competencias. 15 organismos sobre este tema entre el Estado y las CCAA (verificados).</t>
        </is>
      </c>
      <c r="BZ86" s="27" t="inlineStr">
        <is>
          <t>No</t>
        </is>
      </c>
      <c r="CA86" s="27" t="inlineStr">
        <is>
          <t>No acreditada</t>
        </is>
      </c>
      <c r="CB86" s="27" t="inlineStr">
        <is>
          <t>Órgano consultivo sin medios propios: su producto son informes y reuniones, que el P100 no cuenta como resultado.</t>
        </is>
      </c>
      <c r="CC86" s="27" t="inlineStr">
        <is>
          <t>Aplicando el criterio del P100: Costes del Estado 2 (aplicado a las CCAA)</t>
        </is>
      </c>
      <c r="CD86" s="27" t="inlineStr">
        <is>
          <t>Consejería autonómica competente</t>
        </is>
      </c>
      <c r="CE86" s="27" t="inlineStr">
        <is>
          <t>Observatorios de convivencia escolar</t>
        </is>
      </c>
      <c r="CF86" s="28" t="n">
        <v>15</v>
      </c>
      <c r="CG86" s="27" t="inlineStr">
        <is>
          <t>Apoyo: Consejería de la Presidencia de Castilla y León, «con cargo a sus medios personales y materiales» (art. 12 Decreto 52/2014); la secretaría de la sección de convivencia escolar es la del Comité permanente (art. 7.3), cuyo secretario es el titular del órgano directivo central con funciones de secretariado de la Junta (art. 4.3). miembros: no retribuidos (DA 1.ª Decreto 52/2014: no generan derecho a «ninguna cuantía económica» en concepto de «remuneración, dietas o indemnizaciones»).</t>
        </is>
      </c>
      <c r="CH86" s="29">
        <f>IF(AND(ISNUMBER(BP86),ISNUMBER(AG86),AG86&gt;0),BP86*1000000/AG86,"")</f>
        <v/>
      </c>
      <c r="CI86" s="12" t="n"/>
      <c r="CJ86" s="12" t="n"/>
      <c r="CK86" s="12" t="n"/>
      <c r="CL86" s="12" t="n"/>
      <c r="CM86" s="12" t="n"/>
      <c r="CN86" s="12" t="n"/>
      <c r="CO86" s="12" t="n"/>
      <c r="CP86" s="12" t="n"/>
      <c r="CQ86" s="12" t="n"/>
      <c r="CR86" s="12" t="n"/>
      <c r="CS86" s="12" t="n"/>
    </row>
    <row r="87">
      <c r="A87" s="10" t="n">
        <v>86</v>
      </c>
      <c r="B87" s="10" t="inlineStr">
        <is>
          <t>Autonómico</t>
        </is>
      </c>
      <c r="C87" s="10" t="inlineStr">
        <is>
          <t>Cataluña</t>
        </is>
      </c>
      <c r="D87" s="10" t="inlineStr">
        <is>
          <t>Periodo Zapatero</t>
        </is>
      </c>
      <c r="E87" s="10" t="inlineStr">
        <is>
          <t>Agencia Tributaria de Cataluña</t>
        </is>
      </c>
      <c r="F87" s="10" t="inlineStr">
        <is>
          <t>Nueva entidad; funciones existentes</t>
        </is>
      </c>
      <c r="G87" s="10" t="inlineStr">
        <is>
          <t>2007-07-17</t>
        </is>
      </c>
      <c r="H87" s="10" t="inlineStr">
        <is>
          <t>Ley 7/2007</t>
        </is>
      </c>
      <c r="I87" s="10" t="inlineStr">
        <is>
          <t>Aplicación de tributos propios y cedidos en su ámbito.</t>
        </is>
      </c>
      <c r="J87" s="10" t="inlineStr">
        <is>
          <t>Poder tributario ejecutivo real; no equivale a competencia sobre todos los impuestos estatales.</t>
        </is>
      </c>
      <c r="K87" s="11" t="n">
        <v>121.75559748</v>
      </c>
      <c r="L87" s="10" t="n">
        <v>2026</v>
      </c>
      <c r="M87" s="10" t="inlineStr">
        <is>
          <t>Presupuesto propio aprobado</t>
        </is>
      </c>
      <c r="N87" s="10" t="inlineStr">
        <is>
          <t>2026, crédito aprobado</t>
        </is>
      </c>
      <c r="O87" s="10" t="inlineStr">
        <is>
          <t>Cifra propia verificada</t>
        </is>
      </c>
      <c r="P87" s="12" t="n">
        <v>121.75559748</v>
      </c>
      <c r="Q87" s="12" t="n"/>
      <c r="R87" s="10" t="inlineStr">
        <is>
          <t>Presupuesto propio 2026 aprobado Ley 10/2026: 121.755.597,48 EUR. No gasto ejecutado.</t>
        </is>
      </c>
      <c r="S87" s="10" t="inlineStr">
        <is>
          <t>2026, salvo indicación distinta; créditos iniciales salvo mención expresa</t>
        </is>
      </c>
      <c r="T87" s="10" t="inlineStr">
        <is>
          <t>Presupuestada 2026; ley original recodificada, no interpretar derogación parcial como desaparición</t>
        </is>
      </c>
      <c r="U87" s="10" t="inlineStr">
        <is>
          <t>Juicio basado en mandato y evidencia citada, no en una auditoría de eficacia, personal ocupado o independencia práctica.</t>
        </is>
      </c>
      <c r="V87" s="10" t="inlineStr">
        <is>
          <t>No se ha identificado relación en esta revisión (no certifica ausencia)</t>
        </is>
      </c>
      <c r="W87" s="10" t="n"/>
      <c r="X87" s="10" t="inlineStr">
        <is>
          <t>Revisión cualitativa del mandato y estado de las 95 fichas; no auditoría exhaustiva de funciones ni proyectos.</t>
        </is>
      </c>
      <c r="Y87" s="10" t="n"/>
      <c r="Z87" s="10" t="inlineStr">
        <is>
          <t>https://www.boe.es/diario_boe/txt.php?id=BOE-A-2007-15212
https://www.boe.es/ccaa/dogc/2026/9706/f00001-00102.pdf</t>
        </is>
      </c>
      <c r="AA87" s="12" t="n"/>
      <c r="AB87" s="10" t="n"/>
      <c r="AC87" s="10" t="n"/>
      <c r="AD87" s="10" t="n"/>
      <c r="AE87" s="13" t="inlineStr">
        <is>
          <t>https://files.instinct.com/q91pr53q4umo-entidades-publicas-poder-y-presupuesto</t>
        </is>
      </c>
      <c r="AF87" s="10" t="inlineStr">
        <is>
          <t>12/10/2026</t>
        </is>
      </c>
      <c r="AG87" s="10" t="n"/>
      <c r="AH87" s="10" t="n"/>
      <c r="AI87" s="10" t="inlineStr">
        <is>
          <t>Personas realmente ocupadas; no equiparar vocales, puestos RPT o apoyo ministerial con plantilla</t>
        </is>
      </c>
      <c r="AJ87" s="10" t="inlineStr">
        <is>
          <t>Pendiente: sin cifra de personal ocupado verificada en el conjunto actual</t>
        </is>
      </c>
      <c r="AK87" s="10" t="n"/>
      <c r="AL87" s="12" t="n"/>
      <c r="AM87" s="10" t="n"/>
      <c r="AN87" s="10" t="n"/>
      <c r="AO87" s="10" t="inlineStr">
        <is>
          <t>Pendiente: sin coste de personal individual verificado en el conjunto actual</t>
        </is>
      </c>
      <c r="AP87" s="10" t="n"/>
      <c r="AQ87" s="12" t="n"/>
      <c r="AR87" s="10" t="n"/>
      <c r="AS87" s="10" t="n"/>
      <c r="AT87" s="10" t="n"/>
      <c r="AU87" s="10" t="n"/>
      <c r="AV87" s="10" t="inlineStr">
        <is>
          <t>Pendiente: no se ha verificado gasto salarial ejecutado individual en esta versión</t>
        </is>
      </c>
      <c r="AW87" s="10" t="inlineStr">
        <is>
          <t>Presupuesto propio verificado; personal y salarios ejecutados pendientes</t>
        </is>
      </c>
      <c r="AX87" s="14" t="n"/>
      <c r="AY87" s="14" t="n"/>
      <c r="AZ87" s="14" t="n"/>
      <c r="BA87" s="14" t="n"/>
      <c r="BB87" s="14" t="n"/>
      <c r="BC87" s="10" t="inlineStr">
        <is>
          <t>Revisado: ATCataluña informe PRECEPTIVO actual</t>
        </is>
      </c>
      <c r="BD87" s="10" t="inlineStr">
        <is>
          <t>JuntaGobierno informa anteproyectos ley/decretolegislativo que afecten directa/indirectamente competencias y otros proyectosnormativos.</t>
        </is>
      </c>
      <c r="BE87" s="10" t="inlineStr">
        <is>
          <t>No consentimiento favorable ni veto legislativo establecido en las cláusulas revisadas.</t>
        </is>
      </c>
      <c r="BF87" s="10" t="inlineStr">
        <is>
          <t>Trámite específico, no informe favorable requerido. Art212-3.2k aprobación previa solo proyectosestructura propia.</t>
        </is>
      </c>
      <c r="BG87" s="10" t="inlineStr">
        <is>
          <t>CódigoTributario Ley17/2017 art212-3.2c,d</t>
        </is>
      </c>
      <c r="BH87" s="10" t="inlineStr">
        <is>
          <t>https://boe.es/buscar/act.php?id=DOGC-f-2017-90436</t>
        </is>
      </c>
      <c r="BI87" s="12" t="n"/>
      <c r="BJ87" s="12" t="n"/>
      <c r="BK87" s="12" t="n"/>
      <c r="BL87" s="12" t="n"/>
      <c r="BM87" s="10" t="n"/>
      <c r="BN87" s="10" t="n"/>
      <c r="BO87" s="12" t="n"/>
      <c r="BP87" s="12" t="n"/>
      <c r="BQ87" s="12" t="n"/>
      <c r="BR87" s="12" t="n"/>
      <c r="BS87" s="12" t="n"/>
      <c r="BT87" s="12" t="n"/>
      <c r="BU87" s="12" t="n"/>
      <c r="BV87" s="27" t="inlineStr">
        <is>
          <t>No útil</t>
        </is>
      </c>
      <c r="BW87" s="27" t="inlineStr">
        <is>
          <t>Integrar</t>
        </is>
      </c>
      <c r="BX87" s="27" t="inlineStr">
        <is>
          <t>Servicio público directo</t>
        </is>
      </c>
      <c r="BY87" s="27" t="inlineStr">
        <is>
          <t>Competencia autonómica que el Estado no presta en ese territorio; la duplicidad es de forma (agencia propia o dirección general). 12 organismos sobre este tema entre el Estado y las CCAA (verificados).</t>
        </is>
      </c>
      <c r="BZ87" s="27" t="inlineStr">
        <is>
          <t>No</t>
        </is>
      </c>
      <c r="CA87" s="27" t="inlineStr">
        <is>
          <t>Parcial</t>
        </is>
      </c>
      <c r="CB87" s="27" t="inlineStr">
        <is>
          <t>Gestiona tributos autonómicos y cedidos; el P100 quiere «una sola Agencia Tributaria» para todo el régimen común.</t>
        </is>
      </c>
      <c r="CC87" s="27" t="inlineStr">
        <is>
          <t>Explícito en el P100: Impuestos y financiación territorial 11</t>
        </is>
      </c>
      <c r="CD87" s="27" t="inlineStr">
        <is>
          <t>Agencia Estatal de Administración Tributaria (AEAT)</t>
        </is>
      </c>
      <c r="CE87" s="27" t="inlineStr">
        <is>
          <t>Agencias tributarias</t>
        </is>
      </c>
      <c r="CF87" s="28" t="n">
        <v>12</v>
      </c>
      <c r="CG87" s="12" t="n"/>
      <c r="CH87" s="29">
        <f>IF(AND(ISNUMBER(BP87),ISNUMBER(AG87),AG87&gt;0),BP87*1000000/AG87,"")</f>
        <v/>
      </c>
      <c r="CI87" s="12" t="n"/>
      <c r="CJ87" s="12" t="n"/>
      <c r="CK87" s="12" t="n"/>
      <c r="CL87" s="12" t="n"/>
      <c r="CM87" s="12" t="n"/>
      <c r="CN87" s="12" t="n"/>
      <c r="CO87" s="12" t="n"/>
      <c r="CP87" s="12" t="n"/>
      <c r="CQ87" s="12" t="n"/>
      <c r="CR87" s="12" t="n"/>
      <c r="CS87" s="12" t="n"/>
    </row>
    <row r="88">
      <c r="A88" s="10" t="n">
        <v>87</v>
      </c>
      <c r="B88" s="10" t="inlineStr">
        <is>
          <t>Autonómico</t>
        </is>
      </c>
      <c r="C88" s="10" t="inlineStr">
        <is>
          <t>Cataluña</t>
        </is>
      </c>
      <c r="D88" s="10" t="inlineStr">
        <is>
          <t>Periodo Zapatero</t>
        </is>
      </c>
      <c r="E88" s="10" t="inlineStr">
        <is>
          <t>Oficina Antifraude de Cataluña</t>
        </is>
      </c>
      <c r="F88" s="10" t="inlineStr">
        <is>
          <t>Nueva entidad parlamentaria</t>
        </is>
      </c>
      <c r="G88" s="10" t="inlineStr">
        <is>
          <t>2008-11-05</t>
        </is>
      </c>
      <c r="H88" s="10" t="inlineStr">
        <is>
          <t>Ley 14/2008</t>
        </is>
      </c>
      <c r="I88" s="10" t="inlineStr">
        <is>
          <t>Prevenir e investigar irregularidades y corrupción en uso de recursos públicos.</t>
        </is>
      </c>
      <c r="J88" s="10" t="inlineStr">
        <is>
          <t>Investigación administrativa y recomendaciones; no sustituye Fiscalía ni jueces.</t>
        </is>
      </c>
      <c r="K88" s="11" t="n"/>
      <c r="L88" s="10" t="n"/>
      <c r="M88" s="10" t="n"/>
      <c r="N88" s="10" t="n"/>
      <c r="O88" s="10" t="inlineStr">
        <is>
          <t>Sin cifra propia actual verificada</t>
        </is>
      </c>
      <c r="P88" s="12" t="n"/>
      <c r="Q88" s="12" t="n"/>
      <c r="R88" s="10" t="inlineStr">
        <is>
          <t>Presupuesto 2026 publicado, importe no verificado en documento original.</t>
        </is>
      </c>
      <c r="S88" s="10" t="inlineStr">
        <is>
          <t>2026, salvo indicación distinta; créditos iniciales salvo mención expresa</t>
        </is>
      </c>
      <c r="T88" s="10" t="inlineStr">
        <is>
          <t>Publicación presupuestaria 2026 vigente</t>
        </is>
      </c>
      <c r="U88" s="10" t="inlineStr">
        <is>
          <t>Juicio basado en mandato y evidencia citada, no en una auditoría de eficacia, personal ocupado o independencia práctica.</t>
        </is>
      </c>
      <c r="V88" s="10" t="inlineStr">
        <is>
          <t>No se ha identificado relación en esta revisión (no certifica ausencia)</t>
        </is>
      </c>
      <c r="W88" s="10" t="n"/>
      <c r="X88" s="10" t="inlineStr">
        <is>
          <t>Revisión cualitativa del mandato y estado de las 95 fichas; no auditoría exhaustiva de funciones ni proyectos.</t>
        </is>
      </c>
      <c r="Y88" s="10" t="n"/>
      <c r="Z88" s="10" t="inlineStr">
        <is>
          <t>https://www.boe.es/buscar/act.php?id=BOE-A-2008-19527
https://seuelectronica.antifrau.cat/es/presupuesto/summary/217-presupuesto-de-la-oficina-antifraude-de-cataluna/11612-presupuesto-oficina-antifraude-de-cataluna-2026.html</t>
        </is>
      </c>
      <c r="AA88" s="12" t="n"/>
      <c r="AB88" s="10" t="n"/>
      <c r="AC88" s="10" t="n"/>
      <c r="AD88" s="10" t="n"/>
      <c r="AE88" s="13" t="inlineStr">
        <is>
          <t>https://files.instinct.com/q91pr53q4umo-entidades-publicas-poder-y-presupuesto</t>
        </is>
      </c>
      <c r="AF88" s="10" t="inlineStr">
        <is>
          <t>12/10/2026</t>
        </is>
      </c>
      <c r="AG88" s="10" t="n"/>
      <c r="AH88" s="10" t="n"/>
      <c r="AI88" s="10" t="inlineStr">
        <is>
          <t>Personas realmente ocupadas; no equiparar vocales, puestos RPT o apoyo ministerial con plantilla</t>
        </is>
      </c>
      <c r="AJ88" s="10" t="inlineStr">
        <is>
          <t>Pendiente: sin cifra de personal ocupado verificada en el conjunto actual</t>
        </is>
      </c>
      <c r="AK88" s="10" t="n"/>
      <c r="AL88" s="12" t="n"/>
      <c r="AM88" s="10" t="n"/>
      <c r="AN88" s="10" t="n"/>
      <c r="AO88" s="10" t="inlineStr">
        <is>
          <t>Pendiente: sin coste de personal individual verificado en el conjunto actual</t>
        </is>
      </c>
      <c r="AP88" s="10" t="n"/>
      <c r="AQ88" s="12" t="n"/>
      <c r="AR88" s="10" t="n"/>
      <c r="AS88" s="10" t="n"/>
      <c r="AT88" s="10" t="n"/>
      <c r="AU88" s="10" t="n"/>
      <c r="AV88" s="10" t="inlineStr">
        <is>
          <t>Pendiente: no se ha verificado gasto salarial ejecutado individual en esta versión</t>
        </is>
      </c>
      <c r="AW88" s="10" t="inlineStr">
        <is>
          <t>SIN CIFRA INDIVIDUAL VERIFICADA de presupuesto, personal ocupado y salarios ejecutados; investigación pendiente, no prueba de falta de publicación</t>
        </is>
      </c>
      <c r="AX88" s="14" t="n"/>
      <c r="AY88" s="14" t="n"/>
      <c r="AZ88" s="14" t="n"/>
      <c r="BA88" s="14" t="n"/>
      <c r="BB88" s="14" t="n"/>
      <c r="BC88" s="10" t="inlineStr">
        <is>
          <t>Revisado: AntifraudeCataluña: recomendaciones</t>
        </is>
      </c>
      <c r="BD88" s="10" t="inlineStr">
        <is>
          <t>Asesora y propone al Parlamento/Gobierno contra fraude; no literal informe preceptivo general en art3c.</t>
        </is>
      </c>
      <c r="BE88" s="10" t="inlineStr">
        <is>
          <t>No consentimiento favorable ni veto legislativo establecido en las cláusulas revisadas.</t>
        </is>
      </c>
      <c r="BF88" s="10" t="inlineStr">
        <is>
          <t>Revisión limitada a las atribuciones citadas: no descarta trámites sectoriales en otras normas.</t>
        </is>
      </c>
      <c r="BG88" s="10" t="inlineStr">
        <is>
          <t>Ley14/2008 art3c</t>
        </is>
      </c>
      <c r="BH88" s="10" t="inlineStr">
        <is>
          <t>https://www.boe.es/buscar/act.php?id=BOE-A-2008-19527</t>
        </is>
      </c>
      <c r="BI88" s="12" t="n"/>
      <c r="BJ88" s="12" t="n"/>
      <c r="BK88" s="12" t="n"/>
      <c r="BL88" s="12" t="n"/>
      <c r="BM88" s="10" t="n"/>
      <c r="BN88" s="10" t="n"/>
      <c r="BO88" s="12" t="n"/>
      <c r="BP88" s="12" t="n"/>
      <c r="BQ88" s="12" t="n"/>
      <c r="BR88" s="12" t="n"/>
      <c r="BS88" s="12" t="n"/>
      <c r="BT88" s="12" t="n"/>
      <c r="BU88" s="12" t="n"/>
      <c r="BV88" s="27" t="inlineStr">
        <is>
          <t>No útil</t>
        </is>
      </c>
      <c r="BW88" s="27" t="inlineStr">
        <is>
          <t>Integrar</t>
        </is>
      </c>
      <c r="BX88" s="27" t="inlineStr">
        <is>
          <t>Control interno y cumplimiento</t>
        </is>
      </c>
      <c r="BY88" s="27" t="inlineStr">
        <is>
          <t>Paralelo a AIPI: cada nivel actúa con sus propios fondos o competencias. 10 organismos sobre este tema entre el Estado y las CCAA (verificados).</t>
        </is>
      </c>
      <c r="BZ88" s="27" t="inlineStr">
        <is>
          <t>No</t>
        </is>
      </c>
      <c r="CA88" s="27" t="inlineStr">
        <is>
          <t>Parcial</t>
        </is>
      </c>
      <c r="CB88" s="27" t="inlineStr">
        <is>
          <t>Oficina antifraude autonómica: investiga irregularidades que también ven el órgano de control externo y la Fiscalía.</t>
        </is>
      </c>
      <c r="CC88" s="27" t="inlineStr">
        <is>
          <t>Aplicando el criterio del P100: Criterio Extramuros del 12/10/2026</t>
        </is>
      </c>
      <c r="CD88" s="27" t="inlineStr">
        <is>
          <t>Cámara o Sindicatura de Cuentas de la comunidad autónoma; para denuncias, Autoridad Independiente de Protección del Informante (AIPI) por convenio</t>
        </is>
      </c>
      <c r="CE88" s="27" t="inlineStr">
        <is>
          <t>Oficinas y agencias antifraude y de protección del informante</t>
        </is>
      </c>
      <c r="CF88" s="28" t="n">
        <v>10</v>
      </c>
      <c r="CG88" s="12" t="n"/>
      <c r="CH88" s="29">
        <f>IF(AND(ISNUMBER(BP88),ISNUMBER(AG88),AG88&gt;0),BP88*1000000/AG88,"")</f>
        <v/>
      </c>
      <c r="CI88" s="12" t="n"/>
      <c r="CJ88" s="12" t="n"/>
      <c r="CK88" s="12" t="n"/>
      <c r="CL88" s="12" t="n"/>
      <c r="CM88" s="12" t="n"/>
      <c r="CN88" s="12" t="n"/>
      <c r="CO88" s="12" t="n"/>
      <c r="CP88" s="12" t="n"/>
      <c r="CQ88" s="12" t="n"/>
      <c r="CR88" s="12" t="n"/>
      <c r="CS88" s="12" t="n"/>
    </row>
    <row r="89">
      <c r="A89" s="10" t="n">
        <v>88</v>
      </c>
      <c r="B89" s="10" t="inlineStr">
        <is>
          <t>Autonómico</t>
        </is>
      </c>
      <c r="C89" s="10" t="inlineStr">
        <is>
          <t>Extremadura</t>
        </is>
      </c>
      <c r="D89" s="10" t="inlineStr">
        <is>
          <t>Periodo Zapatero</t>
        </is>
      </c>
      <c r="E89" s="10" t="inlineStr">
        <is>
          <t>Observatorio para la Convivencia Escolar</t>
        </is>
      </c>
      <c r="F89" s="10" t="inlineStr">
        <is>
          <t>Órgano colegiado consultivo nuevo</t>
        </is>
      </c>
      <c r="G89" s="10" t="inlineStr">
        <is>
          <t>2007-02-20</t>
        </is>
      </c>
      <c r="H89" s="10" t="inlineStr">
        <is>
          <t>Decreto 28/2007</t>
        </is>
      </c>
      <c r="I89" s="10" t="inlineStr">
        <is>
          <t>Evaluar convivencia escolar y proponer prevención de violencia.</t>
        </is>
      </c>
      <c r="J89" s="10" t="inlineStr">
        <is>
          <t>Consultivo explícito: diagnóstico y propuestas, no sanción. No hay prueba suficiente de actividad reciente o vaciamiento.</t>
        </is>
      </c>
      <c r="K89" s="11" t="n"/>
      <c r="L89" s="10" t="n"/>
      <c r="M89" s="10" t="n"/>
      <c r="N89" s="10" t="n"/>
      <c r="O89" s="10" t="inlineStr">
        <is>
          <t>Sin cifra propia actual verificada</t>
        </is>
      </c>
      <c r="P89" s="12" t="n"/>
      <c r="Q89" s="12" t="n"/>
      <c r="R89" s="10" t="inlineStr">
        <is>
          <t>No se ha verificado una dotación propia actual. No equivale a cero EUR ni se le atribuye el presupuesto de la consejería.</t>
        </is>
      </c>
      <c r="S89" s="10" t="inlineStr">
        <is>
          <t>2026, salvo indicación distinta; créditos iniciales salvo mención expresa</t>
        </is>
      </c>
      <c r="T89" s="10" t="inlineStr">
        <is>
          <t>Creación acreditada; no se ha auditado exhaustivamente continuidad y actividad 2026</t>
        </is>
      </c>
      <c r="U89" s="10" t="inlineStr">
        <is>
          <t>Juicio basado en mandato y evidencia citada, no en una auditoría de eficacia, personal ocupado o independencia práctica.</t>
        </is>
      </c>
      <c r="V89" s="10" t="inlineStr">
        <is>
          <t>Mandato paralelo en distinto nivel territorial</t>
        </is>
      </c>
      <c r="W89" s="10" t="inlineStr">
        <is>
          <t>8, 85</t>
        </is>
      </c>
      <c r="X89" s="10" t="inlineStr">
        <is>
          <t>Convivencia escolar: órgano estatal y dos autonómicos. Diferentes jurisdicciones; no prueba de gasto duplicado. Ficha 85 reubicada desde 2014.</t>
        </is>
      </c>
      <c r="Y89" s="10" t="inlineStr">
        <is>
          <t>https://www.boe.es/eli/es/rd/2007/02/23/275
https://www.educacionfpydeportes.gob.es/mc/sgctie/convivencia-escolar/observatorio.html
https://boe.es/boe/dias/2025/11/15/pdfs/BOE-A-2025-23138.pdf
https://www.educa.jcyl.es/convivenciaescolar/es/observatorio-convivencia-escolar/antecedentes-observatorio-convivencia-escolar-castilla-leon
https://recursos.educarex.es/pdf/normativa-sg/Decreto_28-2007.pdf</t>
        </is>
      </c>
      <c r="Z89" s="30" t="inlineStr">
        <is>
          <t>https://recursos.educarex.es/pdf/normativa-sg/Decreto_28-2007.pdf
https://doe.juntaex.es/pdfs/doe/2024/2400o/24050192.pdf</t>
        </is>
      </c>
      <c r="AA89" s="12" t="n"/>
      <c r="AB89" s="10" t="n"/>
      <c r="AC89" s="10" t="n"/>
      <c r="AD89" s="10" t="n"/>
      <c r="AE89" s="13" t="inlineStr">
        <is>
          <t>https://files.instinct.com/q91pr53q4umo-entidades-publicas-poder-y-presupuesto</t>
        </is>
      </c>
      <c r="AF89" s="10" t="inlineStr">
        <is>
          <t>12/10/2026</t>
        </is>
      </c>
      <c r="AG89" s="10" t="n"/>
      <c r="AH89" s="10" t="n"/>
      <c r="AI89" s="10" t="inlineStr">
        <is>
          <t>Personas realmente ocupadas; no equiparar vocales, puestos RPT o apoyo ministerial con plantilla</t>
        </is>
      </c>
      <c r="AJ89" s="10" t="inlineStr">
        <is>
          <t>Pendiente: sin cifra de personal ocupado verificada en el conjunto actual</t>
        </is>
      </c>
      <c r="AK89" s="10" t="n"/>
      <c r="AL89" s="12" t="n"/>
      <c r="AM89" s="10" t="n"/>
      <c r="AN89" s="10" t="n"/>
      <c r="AO89" s="10" t="inlineStr">
        <is>
          <t>Pendiente: sin coste de personal individual verificado en el conjunto actual</t>
        </is>
      </c>
      <c r="AP89" s="10" t="n"/>
      <c r="AQ89" s="12" t="n"/>
      <c r="AR89" s="10" t="n"/>
      <c r="AS89" s="10" t="n"/>
      <c r="AT89" s="10" t="n"/>
      <c r="AU89" s="10" t="n"/>
      <c r="AV89" s="10" t="inlineStr">
        <is>
          <t>Pendiente: no se ha verificado gasto salarial ejecutado individual en esta versión</t>
        </is>
      </c>
      <c r="AW89" s="10" t="inlineStr">
        <is>
          <t>SIN CIFRA INDIVIDUAL VERIFICADA de presupuesto, personal ocupado y salarios ejecutados; investigación pendiente, no prueba de falta de publicación</t>
        </is>
      </c>
      <c r="AX89" s="14" t="n"/>
      <c r="AY89" s="14" t="n"/>
      <c r="AZ89" s="14" t="n"/>
      <c r="BA89" s="14" t="n"/>
      <c r="BB89" s="14" t="n"/>
      <c r="BC89" s="10" t="inlineStr">
        <is>
          <t>Diagnóstico, estudios y propuestas sobre convivencia escolar autonómica</t>
        </is>
      </c>
      <c r="BD89" s="10" t="inlineStr">
        <is>
          <t>No informe preceptivo general sobre aprobación de leyes identificado en funciones revisadas</t>
        </is>
      </c>
      <c r="BE89" s="10" t="inlineStr">
        <is>
          <t>No consentimiento favorable o vinculación normativa establecido en funciones revisadas</t>
        </is>
      </c>
      <c r="BF89" s="10" t="inlineStr">
        <is>
          <t>No veto legislativo atribuido por las disposiciones revisadas. Proponer medidas o cambios legislativos no equivale a aprobarlos; no auditoría de todas las normas sectoriales posteriores.</t>
        </is>
      </c>
      <c r="BG89" s="10" t="inlineStr">
        <is>
          <t>Decreto 28/2007, arts 1-3</t>
        </is>
      </c>
      <c r="BH89" s="10" t="inlineStr">
        <is>
          <t>https://recursos.educarex.es/pdf/normativa-sg/Decreto_28-2007.pdf</t>
        </is>
      </c>
      <c r="BI89" s="12" t="n"/>
      <c r="BJ89" s="12" t="n"/>
      <c r="BK89" s="12" t="n"/>
      <c r="BL89" s="12" t="n"/>
      <c r="BM89" s="10" t="n"/>
      <c r="BN89" s="10" t="n"/>
      <c r="BO89" s="12" t="n"/>
      <c r="BP89" s="12" t="n"/>
      <c r="BQ89" s="12" t="n"/>
      <c r="BR89" s="12" t="n"/>
      <c r="BS89" s="12" t="n"/>
      <c r="BT89" s="12" t="n"/>
      <c r="BU89" s="12" t="n"/>
      <c r="BV89" s="27" t="inlineStr">
        <is>
          <t>No útil</t>
        </is>
      </c>
      <c r="BW89" s="27" t="inlineStr">
        <is>
          <t>Suprimir</t>
        </is>
      </c>
      <c r="BX89" s="27" t="inlineStr">
        <is>
          <t>Consultivo o participación</t>
        </is>
      </c>
      <c r="BY89" s="27" t="inlineStr">
        <is>
          <t>Paralelo a Observatorio Estatal: cada nivel actúa con sus propios fondos o competencias. 15 organismos sobre este tema entre el Estado y las CCAA (verificados).</t>
        </is>
      </c>
      <c r="BZ89" s="27" t="inlineStr">
        <is>
          <t>No</t>
        </is>
      </c>
      <c r="CA89" s="27" t="inlineStr">
        <is>
          <t>Parcial</t>
        </is>
      </c>
      <c r="CB89" s="27" t="inlineStr">
        <is>
          <t>Órgano consultivo sin medios propios: su producto son informes y reuniones, que el P100 no cuenta como resultado.</t>
        </is>
      </c>
      <c r="CC89" s="27" t="inlineStr">
        <is>
          <t>Aplicando el criterio del P100: Costes del Estado 2 (aplicado a las CCAA)</t>
        </is>
      </c>
      <c r="CD89" s="27" t="inlineStr">
        <is>
          <t>Consejería autonómica competente</t>
        </is>
      </c>
      <c r="CE89" s="27" t="inlineStr">
        <is>
          <t>Observatorios de convivencia escolar</t>
        </is>
      </c>
      <c r="CF89" s="28" t="n">
        <v>15</v>
      </c>
      <c r="CG89" s="27" t="inlineStr">
        <is>
          <t>Apoyo: Según el Decreto 190/2007, art. 3.3, se relaciona con la Consejería de Educación a través de la DG de Política Educativa; no se ha verificado la unidad actual de secretaría.</t>
        </is>
      </c>
      <c r="CH89" s="29">
        <f>IF(AND(ISNUMBER(BP89),ISNUMBER(AG89),AG89&gt;0),BP89*1000000/AG89,"")</f>
        <v/>
      </c>
      <c r="CI89" s="12" t="n"/>
      <c r="CJ89" s="12" t="n"/>
      <c r="CK89" s="12" t="n"/>
      <c r="CL89" s="12" t="n"/>
      <c r="CM89" s="12" t="n"/>
      <c r="CN89" s="12" t="n"/>
      <c r="CO89" s="12" t="n"/>
      <c r="CP89" s="12" t="n"/>
      <c r="CQ89" s="12" t="n"/>
      <c r="CR89" s="12" t="n"/>
      <c r="CS89" s="12" t="n"/>
    </row>
    <row r="90">
      <c r="A90" s="10" t="n">
        <v>89</v>
      </c>
      <c r="B90" s="10" t="inlineStr">
        <is>
          <t>Autonómico</t>
        </is>
      </c>
      <c r="C90" s="10" t="inlineStr">
        <is>
          <t>Galicia</t>
        </is>
      </c>
      <c r="D90" s="10" t="inlineStr">
        <is>
          <t>Periodo Rajoy</t>
        </is>
      </c>
      <c r="E90" s="10" t="inlineStr">
        <is>
          <t>Agencia Gallega de Innovación (GAIN)</t>
        </is>
      </c>
      <c r="F90" s="10" t="inlineStr">
        <is>
          <t>Nueva agencia; integración de funciones preexistentes</t>
        </is>
      </c>
      <c r="G90" s="10" t="inlineStr">
        <is>
          <t>2012-01-12</t>
        </is>
      </c>
      <c r="H90" s="10" t="inlineStr">
        <is>
          <t>Decreto 50/2012</t>
        </is>
      </c>
      <c r="I90" s="10" t="inlineStr">
        <is>
          <t>Promover y coordinar innovación, ayudas y proyectos.</t>
        </is>
      </c>
      <c r="J90" s="10" t="inlineStr">
        <is>
          <t>Poder de gestión y financiación; no simple observatorio.</t>
        </is>
      </c>
      <c r="K90" s="11" t="n">
        <v>107.722503</v>
      </c>
      <c r="L90" s="10" t="n">
        <v>2026</v>
      </c>
      <c r="M90" s="10" t="inlineStr">
        <is>
          <t>Presupuesto propio aprobado</t>
        </is>
      </c>
      <c r="N90" s="10" t="inlineStr">
        <is>
          <t>2026, crédito aprobado</t>
        </is>
      </c>
      <c r="O90" s="10" t="inlineStr">
        <is>
          <t>Cifra propia verificada</t>
        </is>
      </c>
      <c r="P90" s="12" t="n">
        <v>107.722503</v>
      </c>
      <c r="Q90" s="12" t="n"/>
      <c r="R90" s="10" t="inlineStr">
        <is>
          <t>Presupuesto 2026: 107.722.503 EUR. Incluye 84.725.056 EUR en transferencias de capital; no tratar total como coste burocrático.</t>
        </is>
      </c>
      <c r="S90" s="10" t="inlineStr">
        <is>
          <t>2026, salvo indicación distinta; créditos iniciales salvo mención expresa</t>
        </is>
      </c>
      <c r="T90" s="10" t="inlineStr">
        <is>
          <t>Presupuestada 2026</t>
        </is>
      </c>
      <c r="U90" s="10" t="inlineStr">
        <is>
          <t>Juicio basado en mandato y evidencia citada, no en una auditoría de eficacia, personal ocupado o independencia práctica.</t>
        </is>
      </c>
      <c r="V90" s="10" t="inlineStr">
        <is>
          <t>Ámbito temático próximo; funciones distintas; Ámbito I+D+i próximo; funciones y territorios distintos</t>
        </is>
      </c>
      <c r="W90" s="10" t="inlineStr">
        <is>
          <t>4, 33, 112, 117</t>
        </is>
      </c>
      <c r="X90" s="10" t="inlineStr">
        <is>
          <t>Investigación/innovación: AEI financia y sigue ayudas, CSIC realiza investigación, GAIN promueve innovación autonómica. No hay doble financiación demostrada. | Financiación, investigación o innovación en ámbitos estatales y autonómicos distintos; no equivalencia de programas ni doble financiación demostrada.</t>
        </is>
      </c>
      <c r="Y90" s="10" t="inlineStr">
        <is>
          <t>https://www.boe.es/eli/es/rd/2015/11/27/1067
https://www.igae.pap.hacienda.gob.es/sitios/igae/es-ES/Contabilidad/ContabilidadPublica/CPE/EjecucionPresupuestaria/Documents/ORGANISMOS%2008.%202026.pdf
https://www.aei.gob.es/en/about-aei/plans-aei/Budget
https://www.boe.es/eli/es/rd/2007/12/21/1730/con
https://www.xunta.gal/dog/Publicados/2012/20120127/AnuncioCA04-230112-11332_es.html
https://www.xunta.gal/dog/Publicados/2025/20251231/AnuncioC3B0-231225-0001_es.html
https://boe.es/buscar/doc.php?id=BOE-A-2023-1605
https://www.boe.es/eli/es-cm/l/2020/07/10/4</t>
        </is>
      </c>
      <c r="Z90" s="10" t="inlineStr">
        <is>
          <t>https://www.xunta.gal/dog/Publicados/2012/20120127/AnuncioCA04-230112-11332_es.html
https://www.xunta.gal/dog/Publicados/2025/20251231/AnuncioC3B0-231225-0001_es.html</t>
        </is>
      </c>
      <c r="AA90" s="12" t="n"/>
      <c r="AB90" s="10" t="n"/>
      <c r="AC90" s="10" t="n"/>
      <c r="AD90" s="10" t="n"/>
      <c r="AE90" s="13" t="inlineStr">
        <is>
          <t>https://files.instinct.com/q91pr53q4umo-entidades-publicas-poder-y-presupuesto</t>
        </is>
      </c>
      <c r="AF90" s="10" t="inlineStr">
        <is>
          <t>12/10/2026</t>
        </is>
      </c>
      <c r="AG90" s="10" t="n"/>
      <c r="AH90" s="10" t="n"/>
      <c r="AI90" s="10" t="inlineStr">
        <is>
          <t>Personas realmente ocupadas; no equiparar vocales, puestos RPT o apoyo ministerial con plantilla</t>
        </is>
      </c>
      <c r="AJ90" s="10" t="inlineStr">
        <is>
          <t>Pendiente: sin cifra de personal ocupado verificada en el conjunto actual</t>
        </is>
      </c>
      <c r="AK90" s="10" t="n"/>
      <c r="AL90" s="12" t="n"/>
      <c r="AM90" s="10" t="n"/>
      <c r="AN90" s="10" t="n"/>
      <c r="AO90" s="10" t="inlineStr">
        <is>
          <t>Pendiente: sin coste de personal individual verificado en el conjunto actual</t>
        </is>
      </c>
      <c r="AP90" s="10" t="n"/>
      <c r="AQ90" s="12" t="n"/>
      <c r="AR90" s="10" t="n"/>
      <c r="AS90" s="10" t="n"/>
      <c r="AT90" s="10" t="n"/>
      <c r="AU90" s="10" t="n"/>
      <c r="AV90" s="10" t="inlineStr">
        <is>
          <t>Pendiente: no se ha verificado gasto salarial ejecutado individual en esta versión</t>
        </is>
      </c>
      <c r="AW90" s="10" t="inlineStr">
        <is>
          <t>Presupuesto propio verificado; personal y salarios ejecutados pendientes</t>
        </is>
      </c>
      <c r="AX90" s="14" t="n"/>
      <c r="AY90" s="14" t="n"/>
      <c r="AZ90" s="14" t="n"/>
      <c r="BA90" s="14" t="n"/>
      <c r="BB90" s="14" t="n"/>
      <c r="BC90" s="10" t="inlineStr">
        <is>
          <t>Revisado: GAIN: gestión innovación</t>
        </is>
      </c>
      <c r="BD90" s="10" t="inlineStr">
        <is>
          <t>Asesoramiento/planes innovación y normas internas; no consentimiento legislativo general en funciones estatutarias.</t>
        </is>
      </c>
      <c r="BE90" s="10" t="inlineStr">
        <is>
          <t>No consentimiento favorable ni veto legislativo establecido en las cláusulas revisadas.</t>
        </is>
      </c>
      <c r="BF90" s="10" t="inlineStr">
        <is>
          <t>Revisión limitada a las atribuciones citadas: no descarta trámites sectoriales en otras normas.</t>
        </is>
      </c>
      <c r="BG90" s="10" t="inlineStr">
        <is>
          <t>Decreto50/2012 funciones estatutarias</t>
        </is>
      </c>
      <c r="BH90" s="10" t="inlineStr">
        <is>
          <t>https://www.xunta.gal/dog/Publicados/2012/20120127/AnuncioCA04-230112-11332_es.html</t>
        </is>
      </c>
      <c r="BI90" s="12" t="n"/>
      <c r="BJ90" s="12" t="n"/>
      <c r="BK90" s="12" t="n"/>
      <c r="BL90" s="12" t="n"/>
      <c r="BM90" s="10" t="n"/>
      <c r="BN90" s="10" t="n"/>
      <c r="BO90" s="12" t="n"/>
      <c r="BP90" s="12" t="n"/>
      <c r="BQ90" s="12" t="n"/>
      <c r="BR90" s="12" t="n"/>
      <c r="BS90" s="12" t="n"/>
      <c r="BT90" s="12" t="n"/>
      <c r="BU90" s="12" t="n"/>
      <c r="BV90" s="27" t="inlineStr">
        <is>
          <t>No útil</t>
        </is>
      </c>
      <c r="BW90" s="27" t="inlineStr">
        <is>
          <t>Integrar</t>
        </is>
      </c>
      <c r="BX90" s="27" t="inlineStr">
        <is>
          <t>Financiación y ayudas</t>
        </is>
      </c>
      <c r="BY90" s="27" t="inlineStr">
        <is>
          <t>Paralelo a AEI y CDTI: cada nivel actúa con sus propios fondos o competencias. 10 organismos sobre este tema entre el Estado y las CCAA (verificados).</t>
        </is>
      </c>
      <c r="BZ90" s="27" t="inlineStr">
        <is>
          <t>No</t>
        </is>
      </c>
      <c r="CA90" s="27" t="inlineStr">
        <is>
          <t>Parcial</t>
        </is>
      </c>
      <c r="CB90" s="27" t="inlineStr">
        <is>
          <t>Agencia autonómica que financia I+D+i; la AEI y el CDTI ya financian en todo el territorio.</t>
        </is>
      </c>
      <c r="CC90" s="27" t="inlineStr">
        <is>
          <t>Aplicando el criterio del P100: Criterio Extramuros del 12/10/2026</t>
        </is>
      </c>
      <c r="CD90" s="27" t="inlineStr">
        <is>
          <t>Agencia Estatal de Investigación (AEI) y Centro para el Desarrollo Tecnológico y la Innovación (CDTI, E.P.E.); la consejería autonómica para fondos propios</t>
        </is>
      </c>
      <c r="CE90" s="27" t="inlineStr">
        <is>
          <t>Agencias de investigación e innovación</t>
        </is>
      </c>
      <c r="CF90" s="28" t="n">
        <v>10</v>
      </c>
      <c r="CG90" s="12" t="n"/>
      <c r="CH90" s="29">
        <f>IF(AND(ISNUMBER(BP90),ISNUMBER(AG90),AG90&gt;0),BP90*1000000/AG90,"")</f>
        <v/>
      </c>
      <c r="CI90" s="12" t="n"/>
      <c r="CJ90" s="12" t="n"/>
      <c r="CK90" s="12" t="n"/>
      <c r="CL90" s="12" t="n"/>
      <c r="CM90" s="12" t="n"/>
      <c r="CN90" s="12" t="n"/>
      <c r="CO90" s="12" t="n"/>
      <c r="CP90" s="12" t="n"/>
      <c r="CQ90" s="12" t="n"/>
      <c r="CR90" s="12" t="n"/>
      <c r="CS90" s="12" t="n"/>
    </row>
    <row r="91">
      <c r="A91" s="10" t="n">
        <v>90</v>
      </c>
      <c r="B91" s="10" t="inlineStr">
        <is>
          <t>Autonómico</t>
        </is>
      </c>
      <c r="C91" s="10" t="inlineStr">
        <is>
          <t>Comunidad de Madrid</t>
        </is>
      </c>
      <c r="D91" s="10" t="inlineStr">
        <is>
          <t>Periodo Rajoy</t>
        </is>
      </c>
      <c r="E91" s="10" t="inlineStr">
        <is>
          <t>Consejo de la Juventud de la Comunidad de Madrid</t>
        </is>
      </c>
      <c r="F91" s="10" t="inlineStr">
        <is>
          <t>Restauración: primer consejo 1986, extinguido 2010; recreado 2017</t>
        </is>
      </c>
      <c r="G91" s="10" t="inlineStr">
        <is>
          <t>2017-06-27</t>
        </is>
      </c>
      <c r="H91" s="10" t="inlineStr">
        <is>
          <t>Ley 8/2017</t>
        </is>
      </c>
      <c r="I91" s="10" t="inlineStr">
        <is>
          <t>Participación y representación juvenil; asesoramiento.</t>
        </is>
      </c>
      <c r="J91" s="10" t="inlineStr">
        <is>
          <t>Participativo/consultivo, no sancionador. No creación originaria desde cero.</t>
        </is>
      </c>
      <c r="K91" s="11" t="n"/>
      <c r="L91" s="10" t="n"/>
      <c r="M91" s="10" t="n"/>
      <c r="N91" s="10" t="n"/>
      <c r="O91" s="10" t="inlineStr">
        <is>
          <t>Sin presupuesto propio actual: supresión/extinción; no cuantificar sustituto</t>
        </is>
      </c>
      <c r="P91" s="12" t="n"/>
      <c r="Q91" s="12" t="n"/>
      <c r="R91" s="10" t="inlineStr">
        <is>
          <t>Sin presupuesto propio actual como entidad extinguida; no se cuantifica gasto del sustituto.</t>
        </is>
      </c>
      <c r="S91" s="10" t="inlineStr">
        <is>
          <t>2026, salvo indicación distinta; créditos iniciales salvo mención expresa</t>
        </is>
      </c>
      <c r="T91" s="10" t="inlineStr">
        <is>
          <t>Suprimido por Ley 8/2024 DA única, efectiva 28/12/2024; se prevé sustituto colegiado sin personalidad</t>
        </is>
      </c>
      <c r="U91" s="10" t="inlineStr">
        <is>
          <t>No se ha verificado la aprobación/operación efectiva del órgano sustituto.</t>
        </is>
      </c>
      <c r="V91" s="10" t="inlineStr">
        <is>
          <t>No se ha identificado relación en esta revisión (no certifica ausencia)</t>
        </is>
      </c>
      <c r="W91" s="10" t="n"/>
      <c r="X91" s="10" t="inlineStr">
        <is>
          <t>Revisión cualitativa del mandato y estado de las 95 fichas; no auditoría exhaustiva de funciones ni proyectos.</t>
        </is>
      </c>
      <c r="Y91" s="10" t="n"/>
      <c r="Z91" s="10" t="inlineStr">
        <is>
          <t>https://www.boe.es/diario_boe/txt.php?id=BOE-A-2017-13987
https://www.boe.es/buscar/doc.php?id=BOE-A-2025-5523</t>
        </is>
      </c>
      <c r="AA91" s="12" t="n"/>
      <c r="AB91" s="10" t="n"/>
      <c r="AC91" s="10" t="n"/>
      <c r="AD91" s="10" t="n"/>
      <c r="AE91" s="13" t="inlineStr">
        <is>
          <t>https://files.instinct.com/q91pr53q4umo-entidades-publicas-poder-y-presupuesto</t>
        </is>
      </c>
      <c r="AF91" s="10" t="inlineStr">
        <is>
          <t>12/10/2026</t>
        </is>
      </c>
      <c r="AG91" s="10" t="n"/>
      <c r="AH91" s="10" t="n"/>
      <c r="AI91" s="10" t="inlineStr">
        <is>
          <t>Personas realmente ocupadas; no equiparar vocales, puestos RPT o apoyo ministerial con plantilla</t>
        </is>
      </c>
      <c r="AJ91" s="10" t="inlineStr">
        <is>
          <t>Pendiente: sin cifra de personal ocupado verificada en el conjunto actual</t>
        </is>
      </c>
      <c r="AK91" s="10" t="n"/>
      <c r="AL91" s="12" t="n"/>
      <c r="AM91" s="10" t="n"/>
      <c r="AN91" s="10" t="n"/>
      <c r="AO91" s="10" t="inlineStr">
        <is>
          <t>Pendiente: sin coste de personal individual verificado en el conjunto actual</t>
        </is>
      </c>
      <c r="AP91" s="10" t="n"/>
      <c r="AQ91" s="12" t="n"/>
      <c r="AR91" s="10" t="n"/>
      <c r="AS91" s="10" t="n"/>
      <c r="AT91" s="10" t="n"/>
      <c r="AU91" s="10" t="n"/>
      <c r="AV91" s="10" t="inlineStr">
        <is>
          <t>Pendiente: no se ha verificado gasto salarial ejecutado individual en esta versión</t>
        </is>
      </c>
      <c r="AW91" s="10" t="inlineStr">
        <is>
          <t>SIN CIFRA INDIVIDUAL VERIFICADA de presupuesto, personal ocupado y salarios ejecutados; investigación pendiente, no prueba de falta de publicación</t>
        </is>
      </c>
      <c r="AX91" s="14" t="n"/>
      <c r="AY91" s="14" t="n"/>
      <c r="AZ91" s="14" t="n"/>
      <c r="BA91" s="14" t="n"/>
      <c r="BB91" s="14" t="n"/>
      <c r="BC91" s="10" t="inlineStr">
        <is>
          <t>Revisado con discordancia interna: juventudMadrid</t>
        </is>
      </c>
      <c r="BD91" s="10" t="inlineStr">
        <is>
          <t>Preámbulo menciona informes proyectosnormativos/planes/estrategias juventud, pero art3 funciones publicado no reproduce ese trámite específico. Art3.1 estudios e informes a solicitud/iniciativa.</t>
        </is>
      </c>
      <c r="BE91" s="10" t="inlineStr">
        <is>
          <t>No veto parlamentario ni consentimiento favorable general establecido en las cláusulas revisadas.</t>
        </is>
      </c>
      <c r="BF91" s="10" t="inlineStr">
        <is>
          <t>No afirmar informe PRECEPTIVO basándose solo en preámbulo. Discordancia conservada; no veto legislativo acreditado.</t>
        </is>
      </c>
      <c r="BG91" s="10" t="inlineStr">
        <is>
          <t>Ley8/2017 preámbulo yart3</t>
        </is>
      </c>
      <c r="BH91" s="10" t="inlineStr">
        <is>
          <t>https://www.boe.es/buscar/doc.php?id=BOE-A-2017-13987</t>
        </is>
      </c>
      <c r="BI91" s="12" t="n"/>
      <c r="BJ91" s="12" t="n"/>
      <c r="BK91" s="12" t="n"/>
      <c r="BL91" s="12" t="n"/>
      <c r="BM91" s="10" t="n"/>
      <c r="BN91" s="10" t="n"/>
      <c r="BO91" s="12" t="n"/>
      <c r="BP91" s="12" t="n"/>
      <c r="BQ91" s="12" t="n"/>
      <c r="BR91" s="12" t="n"/>
      <c r="BS91" s="12" t="n"/>
      <c r="BT91" s="12" t="n"/>
      <c r="BU91" s="12" t="n"/>
      <c r="BV91" s="27" t="inlineStr">
        <is>
          <t>Extinguida</t>
        </is>
      </c>
      <c r="BW91" s="27" t="inlineStr">
        <is>
          <t>Extinguida</t>
        </is>
      </c>
      <c r="BX91" s="27" t="inlineStr">
        <is>
          <t>Extinguida o no constituida</t>
        </is>
      </c>
      <c r="BY91" s="27" t="inlineStr">
        <is>
          <t>12 organismos sobre este tema entre el Estado y las CCAA (verificados)</t>
        </is>
      </c>
      <c r="BZ91" s="27" t="inlineStr">
        <is>
          <t>No</t>
        </is>
      </c>
      <c r="CA91" s="27" t="inlineStr">
        <is>
          <t>No aplica (no vigente)</t>
        </is>
      </c>
      <c r="CB91" s="27" t="inlineStr">
        <is>
          <t>Suprimido por Ley 8/2024 de Madrid.</t>
        </is>
      </c>
      <c r="CC91" s="12" t="n"/>
      <c r="CD91" s="12" t="n"/>
      <c r="CE91" s="27" t="inlineStr">
        <is>
          <t>Consejos de la juventud</t>
        </is>
      </c>
      <c r="CF91" s="28" t="n">
        <v>12</v>
      </c>
      <c r="CG91" s="12" t="n"/>
      <c r="CH91" s="29">
        <f>IF(AND(ISNUMBER(BP91),ISNUMBER(AG91),AG91&gt;0),BP91*1000000/AG91,"")</f>
        <v/>
      </c>
      <c r="CI91" s="12" t="n"/>
      <c r="CJ91" s="12" t="n"/>
      <c r="CK91" s="12" t="n"/>
      <c r="CL91" s="12" t="n"/>
      <c r="CM91" s="12" t="n"/>
      <c r="CN91" s="12" t="n"/>
      <c r="CO91" s="12" t="n"/>
      <c r="CP91" s="12" t="n"/>
      <c r="CQ91" s="12" t="n"/>
      <c r="CR91" s="12" t="n"/>
      <c r="CS91" s="12" t="n"/>
    </row>
    <row r="92">
      <c r="A92" s="10" t="n">
        <v>91</v>
      </c>
      <c r="B92" s="10" t="inlineStr">
        <is>
          <t>Autonómico</t>
        </is>
      </c>
      <c r="C92" s="10" t="inlineStr">
        <is>
          <t>Región de Murcia</t>
        </is>
      </c>
      <c r="D92" s="10" t="inlineStr">
        <is>
          <t>Periodo Rajoy</t>
        </is>
      </c>
      <c r="E92" s="10" t="inlineStr">
        <is>
          <t>Instituto de Turismo de la Región de Murcia (ITREM)</t>
        </is>
      </c>
      <c r="F92" s="10" t="inlineStr">
        <is>
          <t>Nueva entidad pública empresarial/reordenación</t>
        </is>
      </c>
      <c r="G92" s="10" t="inlineStr">
        <is>
          <t>2012-12-27</t>
        </is>
      </c>
      <c r="H92" s="10" t="inlineStr">
        <is>
          <t>Ley 14/2012, art.56</t>
        </is>
      </c>
      <c r="I92" s="10" t="inlineStr">
        <is>
          <t>Promoción turística, ayudas y ejecución de política turística.</t>
        </is>
      </c>
      <c r="J92" s="10" t="inlineStr">
        <is>
          <t>Poder operativo de programas y financiación, no mero foro. Contrato-programa 2026 acredita actividad.</t>
        </is>
      </c>
      <c r="K92" s="11" t="n"/>
      <c r="L92" s="10" t="n"/>
      <c r="M92" s="10" t="n"/>
      <c r="N92" s="10" t="n"/>
      <c r="O92" s="10" t="inlineStr">
        <is>
          <t>Sin cifra propia actual verificada</t>
        </is>
      </c>
      <c r="P92" s="12" t="n"/>
      <c r="Q92" s="12" t="n"/>
      <c r="R92" s="10" t="inlineStr">
        <is>
          <t>Contrato-programa julio 2026 declara prórroga presupuesto 2025 para 2026; total individual no extraído/verificado.</t>
        </is>
      </c>
      <c r="S92" s="10" t="inlineStr">
        <is>
          <t>2026, salvo indicación distinta; créditos iniciales salvo mención expresa</t>
        </is>
      </c>
      <c r="T92" s="10" t="inlineStr">
        <is>
          <t>Operativo; contrato-programa suscrito 15/07/2026</t>
        </is>
      </c>
      <c r="U92" s="10" t="inlineStr">
        <is>
          <t>Portal dice inicio actividad 15/12/2012, anterior a ley 27/12/2012. Se usa fecha legal y se conserva discrepancia sin inventar explicación.</t>
        </is>
      </c>
      <c r="V92" s="10" t="inlineStr">
        <is>
          <t>No se ha identificado relación en esta revisión (no certifica ausencia)</t>
        </is>
      </c>
      <c r="W92" s="10" t="n"/>
      <c r="X92" s="10" t="inlineStr">
        <is>
          <t>Revisión cualitativa del mandato y estado de las 95 fichas; no auditoría exhaustiva de funciones ni proyectos.</t>
        </is>
      </c>
      <c r="Y92" s="10" t="n"/>
      <c r="Z92" s="10" t="inlineStr">
        <is>
          <t>https://transparencia.carm.es/-/instituto-de-turismo-de-la-region-de-murcia?p_p_state=maximized
https://www.borm.es/services/anuncio/ano/2026/numero/3655/pdf</t>
        </is>
      </c>
      <c r="AA92" s="12" t="n"/>
      <c r="AB92" s="10" t="n"/>
      <c r="AC92" s="10" t="n"/>
      <c r="AD92" s="10" t="n"/>
      <c r="AE92" s="13" t="inlineStr">
        <is>
          <t>https://files.instinct.com/q91pr53q4umo-entidades-publicas-poder-y-presupuesto</t>
        </is>
      </c>
      <c r="AF92" s="10" t="inlineStr">
        <is>
          <t>12/10/2026</t>
        </is>
      </c>
      <c r="AG92" s="10" t="n"/>
      <c r="AH92" s="10" t="n"/>
      <c r="AI92" s="10" t="inlineStr">
        <is>
          <t>Personas realmente ocupadas; no equiparar vocales, puestos RPT o apoyo ministerial con plantilla</t>
        </is>
      </c>
      <c r="AJ92" s="10" t="inlineStr">
        <is>
          <t>Pendiente: sin cifra de personal ocupado verificada en el conjunto actual</t>
        </is>
      </c>
      <c r="AK92" s="10" t="n"/>
      <c r="AL92" s="12" t="n"/>
      <c r="AM92" s="10" t="n"/>
      <c r="AN92" s="10" t="n"/>
      <c r="AO92" s="10" t="inlineStr">
        <is>
          <t>Pendiente: sin coste de personal individual verificado en el conjunto actual</t>
        </is>
      </c>
      <c r="AP92" s="10" t="n"/>
      <c r="AQ92" s="12" t="n"/>
      <c r="AR92" s="10" t="n"/>
      <c r="AS92" s="10" t="n"/>
      <c r="AT92" s="10" t="n"/>
      <c r="AU92" s="10" t="n"/>
      <c r="AV92" s="10" t="inlineStr">
        <is>
          <t>Pendiente: no se ha verificado gasto salarial ejecutado individual en esta versión</t>
        </is>
      </c>
      <c r="AW92" s="10" t="inlineStr">
        <is>
          <t>SIN CIFRA INDIVIDUAL VERIFICADA de presupuesto, personal ocupado y salarios ejecutados; investigación pendiente, no prueba de falta de publicación</t>
        </is>
      </c>
      <c r="AX92" s="14" t="n"/>
      <c r="AY92" s="14" t="n"/>
      <c r="AZ92" s="14" t="n"/>
      <c r="BA92" s="14" t="n"/>
      <c r="BB92" s="14" t="n"/>
      <c r="BC92" s="10" t="inlineStr">
        <is>
          <t>Revisado: ITREM ordenación y planificación</t>
        </is>
      </c>
      <c r="BD92" s="10" t="inlineStr">
        <is>
          <t>Leyart57 y funcionesoficiales: gestión/planificación/turismo e inspección/sanción; no informe legislativo general identificado.</t>
        </is>
      </c>
      <c r="BE92" s="10" t="inlineStr">
        <is>
          <t>No veto parlamentario ni consentimiento favorable general establecido en las cláusulas revisadas.</t>
        </is>
      </c>
      <c r="BF92" s="10" t="inlineStr">
        <is>
          <t>Alcance limitado a norma y atribuciones citadas; no descarta reglas sectoriales adicionales.</t>
        </is>
      </c>
      <c r="BG92" s="10" t="inlineStr">
        <is>
          <t>Ley14/2012 art57 y portalfunciones</t>
        </is>
      </c>
      <c r="BH92" s="10" t="inlineStr">
        <is>
          <t>https://boe.es/buscar/act.php?id=BOE-A-2013-1927
https://itrem.carm.es/itrem/funciones/</t>
        </is>
      </c>
      <c r="BI92" s="12" t="n"/>
      <c r="BJ92" s="12" t="n"/>
      <c r="BK92" s="12" t="n"/>
      <c r="BL92" s="12" t="n"/>
      <c r="BM92" s="10" t="n"/>
      <c r="BN92" s="10" t="n"/>
      <c r="BO92" s="12" t="n"/>
      <c r="BP92" s="12" t="n"/>
      <c r="BQ92" s="12" t="n"/>
      <c r="BR92" s="12" t="n"/>
      <c r="BS92" s="12" t="n"/>
      <c r="BT92" s="12" t="n"/>
      <c r="BU92" s="12" t="n"/>
      <c r="BV92" s="27" t="inlineStr">
        <is>
          <t>No útil</t>
        </is>
      </c>
      <c r="BW92" s="27" t="inlineStr">
        <is>
          <t>Integrar</t>
        </is>
      </c>
      <c r="BX92" s="27" t="inlineStr">
        <is>
          <t>Financiación y ayudas</t>
        </is>
      </c>
      <c r="BY92" s="12" t="n"/>
      <c r="BZ92" s="27" t="inlineStr">
        <is>
          <t>No</t>
        </is>
      </c>
      <c r="CA92" s="27" t="inlineStr">
        <is>
          <t>Acreditada</t>
        </is>
      </c>
      <c r="CB92" s="27" t="inlineStr">
        <is>
          <t>Promoción turística: no exige una entidad propia; la puede hacer la consejería.</t>
        </is>
      </c>
      <c r="CC92" s="27" t="inlineStr">
        <is>
          <t>Aplicando el criterio del P100: Costes del Estado 9 (aplicado a las CCAA)</t>
        </is>
      </c>
      <c r="CD92" s="27" t="inlineStr">
        <is>
          <t>Consejería de Turismo de la comunidad autónoma</t>
        </is>
      </c>
      <c r="CE92" s="27" t="inlineStr">
        <is>
          <t>Turismo</t>
        </is>
      </c>
      <c r="CF92" s="12" t="n"/>
      <c r="CG92" s="12" t="n"/>
      <c r="CH92" s="29">
        <f>IF(AND(ISNUMBER(BP92),ISNUMBER(AG92),AG92&gt;0),BP92*1000000/AG92,"")</f>
        <v/>
      </c>
      <c r="CI92" s="12" t="n"/>
      <c r="CJ92" s="12" t="n"/>
      <c r="CK92" s="12" t="n"/>
      <c r="CL92" s="12" t="n"/>
      <c r="CM92" s="12" t="n"/>
      <c r="CN92" s="12" t="n"/>
      <c r="CO92" s="12" t="n"/>
      <c r="CP92" s="12" t="n"/>
      <c r="CQ92" s="12" t="n"/>
      <c r="CR92" s="12" t="n"/>
      <c r="CS92" s="12" t="n"/>
    </row>
    <row r="93">
      <c r="A93" s="10" t="n">
        <v>92</v>
      </c>
      <c r="B93" s="10" t="inlineStr">
        <is>
          <t>Autonómico</t>
        </is>
      </c>
      <c r="C93" s="10" t="inlineStr">
        <is>
          <t>Navarra</t>
        </is>
      </c>
      <c r="D93" s="10" t="inlineStr">
        <is>
          <t>Periodo Rajoy</t>
        </is>
      </c>
      <c r="E93" s="10" t="inlineStr">
        <is>
          <t>Oficina de Buenas Prácticas y Anticorrupción</t>
        </is>
      </c>
      <c r="F93" s="10" t="inlineStr">
        <is>
          <t>Nueva entidad</t>
        </is>
      </c>
      <c r="G93" s="10" t="inlineStr">
        <is>
          <t>2018-05-17</t>
        </is>
      </c>
      <c r="H93" s="10" t="inlineStr">
        <is>
          <t>Ley Foral 7/2018</t>
        </is>
      </c>
      <c r="I93" s="10" t="inlineStr">
        <is>
          <t>Prevención, investigación administrativa de irregularidades y protección de denunciantes.</t>
        </is>
      </c>
      <c r="J93" s="10" t="inlineStr">
        <is>
          <t>Investigación real en mandato; remite indicios penales a justicia, no sentencia delitos.</t>
        </is>
      </c>
      <c r="K93" s="11" t="n"/>
      <c r="L93" s="10" t="n"/>
      <c r="M93" s="10" t="n"/>
      <c r="N93" s="10" t="n"/>
      <c r="O93" s="10" t="inlineStr">
        <is>
          <t>Sin cifra propia actual verificada</t>
        </is>
      </c>
      <c r="P93" s="12" t="n"/>
      <c r="Q93" s="12" t="n"/>
      <c r="R93" s="10" t="inlineStr">
        <is>
          <t>Ley Foral 16/2025 reconoce presupuesto separado 2026; importe aprobado no verificado. No usar 996.964 EUR del proyecto como definitivo.</t>
        </is>
      </c>
      <c r="S93" s="10" t="inlineStr">
        <is>
          <t>2026, salvo indicación distinta; créditos iniciales salvo mención expresa</t>
        </is>
      </c>
      <c r="T93" s="10" t="inlineStr">
        <is>
          <t>Reconocida en presupuesto 2026</t>
        </is>
      </c>
      <c r="U93" s="10" t="inlineStr">
        <is>
          <t>Juicio basado en mandato y evidencia citada, no en una auditoría de eficacia, personal ocupado o independencia práctica.</t>
        </is>
      </c>
      <c r="V93" s="10" t="inlineStr">
        <is>
          <t>No se ha identificado relación en esta revisión (no certifica ausencia)</t>
        </is>
      </c>
      <c r="W93" s="10" t="n"/>
      <c r="X93" s="10" t="inlineStr">
        <is>
          <t>Revisión cualitativa del mandato y estado de las 95 fichas; no auditoría exhaustiva de funciones ni proyectos.</t>
        </is>
      </c>
      <c r="Y93" s="10" t="n"/>
      <c r="Z93" s="10" t="inlineStr">
        <is>
          <t>https://boe.es/buscar/act.php?id=BOE-A-2018-7644
https://www.boe.es/diario_boe/txt.php?id=BOE-A-2026-5611</t>
        </is>
      </c>
      <c r="AA93" s="12" t="n">
        <v>0.996964</v>
      </c>
      <c r="AB93" s="10" t="inlineStr">
        <is>
          <t>Proyecto 2026</t>
        </is>
      </c>
      <c r="AC93" s="10" t="inlineStr">
        <is>
          <t>Proyecto; NO presupuesto aprobado</t>
        </is>
      </c>
      <c r="AD93" s="10" t="inlineStr">
        <is>
          <t>Oficina (proyecto)</t>
        </is>
      </c>
      <c r="AE93" s="13" t="inlineStr">
        <is>
          <t>https://files.instinct.com/q91pr53q4umo-entidades-publicas-poder-y-presupuesto</t>
        </is>
      </c>
      <c r="AF93" s="10" t="inlineStr">
        <is>
          <t>12/10/2026</t>
        </is>
      </c>
      <c r="AG93" s="10" t="n"/>
      <c r="AH93" s="10" t="n"/>
      <c r="AI93" s="10" t="inlineStr">
        <is>
          <t>Personas realmente ocupadas; no equiparar vocales, puestos RPT o apoyo ministerial con plantilla</t>
        </is>
      </c>
      <c r="AJ93" s="10" t="inlineStr">
        <is>
          <t>Pendiente: sin cifra de personal ocupado verificada en el conjunto actual</t>
        </is>
      </c>
      <c r="AK93" s="10" t="n"/>
      <c r="AL93" s="12" t="n"/>
      <c r="AM93" s="10" t="n"/>
      <c r="AN93" s="10" t="n"/>
      <c r="AO93" s="10" t="inlineStr">
        <is>
          <t>Pendiente: sin coste de personal individual verificado en el conjunto actual</t>
        </is>
      </c>
      <c r="AP93" s="10" t="n"/>
      <c r="AQ93" s="12" t="n"/>
      <c r="AR93" s="10" t="n"/>
      <c r="AS93" s="10" t="n"/>
      <c r="AT93" s="10" t="n"/>
      <c r="AU93" s="10" t="n"/>
      <c r="AV93" s="10" t="inlineStr">
        <is>
          <t>Pendiente: no se ha verificado gasto salarial ejecutado individual en esta versión</t>
        </is>
      </c>
      <c r="AW93" s="10" t="inlineStr">
        <is>
          <t>SIN CIFRA INDIVIDUAL VERIFICADA de presupuesto, personal ocupado y salarios ejecutados; investigación pendiente, no prueba de falta de publicación</t>
        </is>
      </c>
      <c r="AX93" s="14" t="n"/>
      <c r="AY93" s="14" t="n"/>
      <c r="AZ93" s="14" t="n"/>
      <c r="BA93" s="14" t="n"/>
      <c r="BB93" s="14" t="n"/>
      <c r="BC93" s="10" t="inlineStr">
        <is>
          <t>Revisado: AnticorrupciónNavarra: propuestas normativas</t>
        </is>
      </c>
      <c r="BD93" s="10" t="inlineStr">
        <is>
          <t>Puede proponer modificacionesnormativas e informes de mejora. No trámite previo general en art6e.</t>
        </is>
      </c>
      <c r="BE93" s="10" t="inlineStr">
        <is>
          <t>No consentimiento favorable ni veto legislativo establecido en las cláusulas revisadas.</t>
        </is>
      </c>
      <c r="BF93" s="10" t="inlineStr">
        <is>
          <t>Revisión limitada a las atribuciones citadas: no descarta trámites sectoriales en otras normas.</t>
        </is>
      </c>
      <c r="BG93" s="10" t="inlineStr">
        <is>
          <t>LeyForal7/2018 art6e</t>
        </is>
      </c>
      <c r="BH93" s="10" t="inlineStr">
        <is>
          <t>https://boe.es/buscar/act.php?id=BOE-A-2018-7644</t>
        </is>
      </c>
      <c r="BI93" s="12" t="n"/>
      <c r="BJ93" s="12" t="n"/>
      <c r="BK93" s="12" t="n"/>
      <c r="BL93" s="12" t="n"/>
      <c r="BM93" s="10" t="n"/>
      <c r="BN93" s="10" t="n"/>
      <c r="BO93" s="12" t="n"/>
      <c r="BP93" s="12" t="n"/>
      <c r="BQ93" s="12" t="n"/>
      <c r="BR93" s="12" t="n"/>
      <c r="BS93" s="12" t="n"/>
      <c r="BT93" s="12" t="n"/>
      <c r="BU93" s="12" t="n"/>
      <c r="BV93" s="27" t="inlineStr">
        <is>
          <t>No útil</t>
        </is>
      </c>
      <c r="BW93" s="27" t="inlineStr">
        <is>
          <t>Integrar</t>
        </is>
      </c>
      <c r="BX93" s="27" t="inlineStr">
        <is>
          <t>Control interno y cumplimiento</t>
        </is>
      </c>
      <c r="BY93" s="27" t="inlineStr">
        <is>
          <t>Paralelo a AIPI: cada nivel actúa con sus propios fondos o competencias. 10 organismos sobre este tema entre el Estado y las CCAA (verificados).</t>
        </is>
      </c>
      <c r="BZ93" s="27" t="inlineStr">
        <is>
          <t>No</t>
        </is>
      </c>
      <c r="CA93" s="27" t="inlineStr">
        <is>
          <t>Acreditada</t>
        </is>
      </c>
      <c r="CB93" s="27" t="inlineStr">
        <is>
          <t>Oficina antifraude autonómica: investiga irregularidades que también ven el órgano de control externo y la Fiscalía.</t>
        </is>
      </c>
      <c r="CC93" s="27" t="inlineStr">
        <is>
          <t>Aplicando el criterio del P100: Criterio Extramuros del 12/10/2026</t>
        </is>
      </c>
      <c r="CD93" s="27" t="inlineStr">
        <is>
          <t>Cámara o Sindicatura de Cuentas de la comunidad autónoma; para denuncias, Autoridad Independiente de Protección del Informante (AIPI) por convenio</t>
        </is>
      </c>
      <c r="CE93" s="27" t="inlineStr">
        <is>
          <t>Oficinas y agencias antifraude y de protección del informante</t>
        </is>
      </c>
      <c r="CF93" s="28" t="n">
        <v>10</v>
      </c>
      <c r="CG93" s="12" t="n"/>
      <c r="CH93" s="29">
        <f>IF(AND(ISNUMBER(BP93),ISNUMBER(AG93),AG93&gt;0),BP93*1000000/AG93,"")</f>
        <v/>
      </c>
      <c r="CI93" s="12" t="n"/>
      <c r="CJ93" s="12" t="n"/>
      <c r="CK93" s="12" t="n"/>
      <c r="CL93" s="12" t="n"/>
      <c r="CM93" s="12" t="n"/>
      <c r="CN93" s="12" t="n"/>
      <c r="CO93" s="12" t="n"/>
      <c r="CP93" s="12" t="n"/>
      <c r="CQ93" s="12" t="n"/>
      <c r="CR93" s="12" t="n"/>
      <c r="CS93" s="12" t="n"/>
    </row>
    <row r="94">
      <c r="A94" s="10" t="n">
        <v>93</v>
      </c>
      <c r="B94" s="10" t="inlineStr">
        <is>
          <t>Autonómico</t>
        </is>
      </c>
      <c r="C94" s="10" t="inlineStr">
        <is>
          <t>País Vasco</t>
        </is>
      </c>
      <c r="D94" s="10" t="inlineStr">
        <is>
          <t>Periodo Rajoy</t>
        </is>
      </c>
      <c r="E94" s="10" t="inlineStr">
        <is>
          <t>Autoridad Vasca de la Competencia (AVC)</t>
        </is>
      </c>
      <c r="F94" s="10" t="inlineStr">
        <is>
          <t>Nueva entidad que sustituye estructura previa de competencia</t>
        </is>
      </c>
      <c r="G94" s="10" t="inlineStr">
        <is>
          <t>2012-02-02</t>
        </is>
      </c>
      <c r="H94" s="10" t="inlineStr">
        <is>
          <t>Ley 1/2012</t>
        </is>
      </c>
      <c r="I94" s="10" t="inlineStr">
        <is>
          <t>Investigar/sancionar conductas anticompetitivas en ámbito autonómico y promover competencia.</t>
        </is>
      </c>
      <c r="J94" s="10" t="inlineStr">
        <is>
          <t>Potestad ejecutiva y sancionadora real; no simple órgano consultivo.</t>
        </is>
      </c>
      <c r="K94" s="11" t="n">
        <v>2.227</v>
      </c>
      <c r="L94" s="10" t="n">
        <v>2026</v>
      </c>
      <c r="M94" s="10" t="inlineStr">
        <is>
          <t>Crédito total actualizado</t>
        </is>
      </c>
      <c r="N94" s="10" t="inlineStr">
        <is>
          <t>Julio 2026</t>
        </is>
      </c>
      <c r="O94" s="10" t="inlineStr">
        <is>
          <t>Cifra propia verificada</t>
        </is>
      </c>
      <c r="P94" s="12" t="n">
        <v>2.227</v>
      </c>
      <c r="Q94" s="12" t="n">
        <v>0</v>
      </c>
      <c r="R94" s="10" t="inlineStr">
        <is>
          <t>Julio 2026: crédito inicial y actual 2.227.000 EUR; obligaciones reconocidas 920.385,96 EUR. Sin modificación neta, lo que no descarta compensaciones internas.</t>
        </is>
      </c>
      <c r="S94" s="10" t="inlineStr">
        <is>
          <t>2026, salvo indicación distinta; créditos iniciales salvo mención expresa</t>
        </is>
      </c>
      <c r="T94" s="10" t="inlineStr">
        <is>
          <t>Presupuesto y ejecución julio 2026 publicados</t>
        </is>
      </c>
      <c r="U94" s="10" t="inlineStr">
        <is>
          <t>Juicio basado en mandato y evidencia citada, no en una auditoría de eficacia, personal ocupado o independencia práctica.</t>
        </is>
      </c>
      <c r="V94" s="10" t="inlineStr">
        <is>
          <t>Mandato paralelo en distinto nivel territorial</t>
        </is>
      </c>
      <c r="W94" s="10" t="inlineStr">
        <is>
          <t>24, 74</t>
        </is>
      </c>
      <c r="X94" s="10" t="inlineStr">
        <is>
          <t>Competencia estatal y autonómica. Facultades territoriales distintas; no prueba de expedientes o gasto duplicados.</t>
        </is>
      </c>
      <c r="Y94" s="10" t="inlineStr">
        <is>
          <t>https://www.boe.es/diario_boe/txt.php?id=BOE-A-2013-5940
https://www.igae.pap.hacienda.gob.es/sitios/igae/es-ES/Contabilidad/ContabilidadPublica/CPE/EjecucionPresupuestaria/Documents/ORGANISMOS%2008.%202026.pdf
https://www.cnmc.es/sites/default/files/editor_contenidos/CNMC/PortalTransparencia/2026_IT_%20y_IIT_ejecuci%C3%B3n%20presupuestaria.pdf
https://www.boe.es/buscar/act.php?id=BOE-A-2007-14406
https://www.boe.es/buscar/act.php?id=BOE-A-2012-2313
https://www.euskadi.eus/web01-a3ogaoce/es/contenidos/informacion/ejec_pres_avc_2026/es_def/adjuntos/211_2026_7_DETALLESPORPARTIDAS-GASTOSEINGRESOS_es.pdf</t>
        </is>
      </c>
      <c r="Z94" s="10" t="inlineStr">
        <is>
          <t>https://www.boe.es/buscar/act.php?id=BOE-A-2012-2313
https://www.euskadi.eus/web01-a3ogaoce/es/contenidos/informacion/ejec_pres_avc_2026/es_def/adjuntos/211_2026_7_DETALLESPORPARTIDAS-GASTOSEINGRESOS_es.pdf</t>
        </is>
      </c>
      <c r="AA94" s="12" t="n"/>
      <c r="AB94" s="10" t="n"/>
      <c r="AC94" s="10" t="n"/>
      <c r="AD94" s="10" t="n"/>
      <c r="AE94" s="13" t="inlineStr">
        <is>
          <t>https://files.instinct.com/q91pr53q4umo-entidades-publicas-poder-y-presupuesto</t>
        </is>
      </c>
      <c r="AF94" s="10" t="inlineStr">
        <is>
          <t>12/10/2026</t>
        </is>
      </c>
      <c r="AG94" s="10" t="n"/>
      <c r="AH94" s="10" t="n"/>
      <c r="AI94" s="10" t="inlineStr">
        <is>
          <t>Personas realmente ocupadas; no equiparar vocales, puestos RPT o apoyo ministerial con plantilla</t>
        </is>
      </c>
      <c r="AJ94" s="10" t="inlineStr">
        <is>
          <t>Pendiente: sin cifra de personal ocupado verificada en el conjunto actual</t>
        </is>
      </c>
      <c r="AK94" s="10" t="n"/>
      <c r="AL94" s="12" t="n"/>
      <c r="AM94" s="10" t="n"/>
      <c r="AN94" s="10" t="n"/>
      <c r="AO94" s="10" t="inlineStr">
        <is>
          <t>Pendiente: sin coste de personal individual verificado en el conjunto actual</t>
        </is>
      </c>
      <c r="AP94" s="10" t="n"/>
      <c r="AQ94" s="12" t="n"/>
      <c r="AR94" s="10" t="n"/>
      <c r="AS94" s="10" t="n"/>
      <c r="AT94" s="10" t="n"/>
      <c r="AU94" s="10" t="n"/>
      <c r="AV94" s="10" t="inlineStr">
        <is>
          <t>Pendiente: no se ha verificado gasto salarial ejecutado individual en esta versión</t>
        </is>
      </c>
      <c r="AW94" s="10" t="inlineStr">
        <is>
          <t>Presupuesto propio verificado; personal y salarios ejecutados pendientes</t>
        </is>
      </c>
      <c r="AX94" s="14" t="n"/>
      <c r="AY94" s="14" t="n"/>
      <c r="AZ94" s="14" t="n"/>
      <c r="BA94" s="14" t="n"/>
      <c r="BB94" s="14" t="n"/>
      <c r="BC94" s="10" t="inlineStr">
        <is>
          <t>Revisado: AVC dictamen normativo no vinculante</t>
        </is>
      </c>
      <c r="BD94" s="10" t="inlineStr">
        <is>
          <t>Dictamina proyectosnormativoscompetencia; no literal preceptivo en esta frase.</t>
        </is>
      </c>
      <c r="BE94" s="10" t="inlineStr">
        <is>
          <t>Expresamente NO vinculante.</t>
        </is>
      </c>
      <c r="BF94" s="10" t="inlineStr">
        <is>
          <t>Influye mediante dictamen, no consentimiento favorable ni veto normativo.</t>
        </is>
      </c>
      <c r="BG94" s="10" t="inlineStr">
        <is>
          <t>Ley1/2012 art3</t>
        </is>
      </c>
      <c r="BH94" s="10" t="inlineStr">
        <is>
          <t>https://www.boe.es/buscar/act.php?id=BOE-A-2012-2313</t>
        </is>
      </c>
      <c r="BI94" s="12" t="n"/>
      <c r="BJ94" s="12" t="n"/>
      <c r="BK94" s="12" t="n"/>
      <c r="BL94" s="12" t="n"/>
      <c r="BM94" s="10" t="n"/>
      <c r="BN94" s="10" t="n"/>
      <c r="BO94" s="12" t="n"/>
      <c r="BP94" s="12" t="n"/>
      <c r="BQ94" s="12" t="n"/>
      <c r="BR94" s="12" t="n"/>
      <c r="BS94" s="12" t="n"/>
      <c r="BT94" s="12" t="n"/>
      <c r="BU94" s="12" t="n"/>
      <c r="BV94" s="27" t="inlineStr">
        <is>
          <t>No útil</t>
        </is>
      </c>
      <c r="BW94" s="27" t="inlineStr">
        <is>
          <t>Integrar</t>
        </is>
      </c>
      <c r="BX94" s="27" t="inlineStr">
        <is>
          <t>Regulación o inspección de terceros</t>
        </is>
      </c>
      <c r="BY94" s="27" t="inlineStr">
        <is>
          <t>Duplica a CNMC, que ya cubre este territorio o puede hacerlo. 10 organismos sobre este tema entre el Estado y las CCAA (verificados).</t>
        </is>
      </c>
      <c r="BZ94" s="27" t="inlineStr">
        <is>
          <t>No</t>
        </is>
      </c>
      <c r="CA94" s="27" t="inlineStr">
        <is>
          <t>Acreditada</t>
        </is>
      </c>
      <c r="CB94" s="27" t="inlineStr">
        <is>
          <t>Autoridad autonómica de competencia; la CNMC ya actúa en todo el territorio.</t>
        </is>
      </c>
      <c r="CC94" s="27" t="inlineStr">
        <is>
          <t>Aplicando el criterio del P100: Criterio Extramuros del 12/10/2026 («con una nacional basta»)</t>
        </is>
      </c>
      <c r="CD94" s="27" t="inlineStr">
        <is>
          <t>Comisión Nacional de los Mercados y la Competencia (CNMC)</t>
        </is>
      </c>
      <c r="CE94" s="27" t="inlineStr">
        <is>
          <t>Autoridades de defensa de la competencia</t>
        </is>
      </c>
      <c r="CF94" s="28" t="n">
        <v>10</v>
      </c>
      <c r="CG94" s="12" t="n"/>
      <c r="CH94" s="29">
        <f>IF(AND(ISNUMBER(BP94),ISNUMBER(AG94),AG94&gt;0),BP94*1000000/AG94,"")</f>
        <v/>
      </c>
      <c r="CI94" s="12" t="n"/>
      <c r="CJ94" s="12" t="n"/>
      <c r="CK94" s="12" t="n"/>
      <c r="CL94" s="12" t="n"/>
      <c r="CM94" s="12" t="n"/>
      <c r="CN94" s="12" t="n"/>
      <c r="CO94" s="12" t="n"/>
      <c r="CP94" s="12" t="n"/>
      <c r="CQ94" s="12" t="n"/>
      <c r="CR94" s="12" t="n"/>
      <c r="CS94" s="12" t="n"/>
    </row>
    <row r="95">
      <c r="A95" s="10" t="n">
        <v>94</v>
      </c>
      <c r="B95" s="10" t="inlineStr">
        <is>
          <t>Autonómico</t>
        </is>
      </c>
      <c r="C95" s="10" t="inlineStr">
        <is>
          <t>La Rioja</t>
        </is>
      </c>
      <c r="D95" s="10" t="inlineStr">
        <is>
          <t>Periodo Zapatero</t>
        </is>
      </c>
      <c r="E95" s="10" t="inlineStr">
        <is>
          <t>Instituto Riojano de la Juventud</t>
        </is>
      </c>
      <c r="F95" s="10" t="inlineStr">
        <is>
          <t>Nuevo organismo autónomo</t>
        </is>
      </c>
      <c r="G95" s="10" t="inlineStr">
        <is>
          <t>2005-06-30</t>
        </is>
      </c>
      <c r="H95" s="10" t="inlineStr">
        <is>
          <t>Ley 7/2005, art.60</t>
        </is>
      </c>
      <c r="I95" s="10" t="inlineStr">
        <is>
          <t>Gestionar políticas de juventud.</t>
        </is>
      </c>
      <c r="J95" s="10" t="inlineStr">
        <is>
          <t>Gestor administrativo, no mero foro; organismo extinguido, las políticas continúan en administración.</t>
        </is>
      </c>
      <c r="K95" s="11" t="n"/>
      <c r="L95" s="10" t="n"/>
      <c r="M95" s="10" t="n"/>
      <c r="N95" s="10" t="n"/>
      <c r="O95" s="10" t="inlineStr">
        <is>
          <t>Sin presupuesto propio actual: supresión/extinción; no cuantificar sustituto</t>
        </is>
      </c>
      <c r="P95" s="12" t="n"/>
      <c r="Q95" s="12" t="n"/>
      <c r="R95" s="10" t="inlineStr">
        <is>
          <t>Sin presupuesto propio actual como organismo autónomo extinguido. No equivale a coste cero de políticas juveniles.</t>
        </is>
      </c>
      <c r="S95" s="10" t="inlineStr">
        <is>
          <t>2026, salvo indicación distinta; créditos iniciales salvo mención expresa</t>
        </is>
      </c>
      <c r="T95" s="10" t="inlineStr">
        <is>
          <t>Extinción Decreto 30/2012 de 13/07/2012; Ley14/2022 confirma regulación anterior ya sin efectos jurídicos</t>
        </is>
      </c>
      <c r="U95" s="10" t="inlineStr">
        <is>
          <t>Fecha exacta de extinción obtenida de reproducción vLex; BOE2022 confirma desaparición pero no se ha recuperado BOR original.</t>
        </is>
      </c>
      <c r="V95" s="10" t="inlineStr">
        <is>
          <t>No se ha identificado relación en esta revisión (no certifica ausencia)</t>
        </is>
      </c>
      <c r="W95" s="10" t="n"/>
      <c r="X95" s="10" t="inlineStr">
        <is>
          <t>Revisión cualitativa del mandato y estado de las 95 fichas; no auditoría exhaustiva de funciones ni proyectos.</t>
        </is>
      </c>
      <c r="Y95" s="10" t="n"/>
      <c r="Z95" s="10" t="inlineStr">
        <is>
          <t>https://www.boe.es/eli/es-ri/l/2005/06/30/7
https://vlex.es/vid/extincion-riojano-juventud-autonomo-387496288
https://www.boe.es/diario_boe/txt.php?id=BOE-A-2023-1606</t>
        </is>
      </c>
      <c r="AA95" s="12" t="n"/>
      <c r="AB95" s="10" t="n"/>
      <c r="AC95" s="10" t="n"/>
      <c r="AD95" s="10" t="n"/>
      <c r="AE95" s="13" t="inlineStr">
        <is>
          <t>https://files.instinct.com/q91pr53q4umo-entidades-publicas-poder-y-presupuesto</t>
        </is>
      </c>
      <c r="AF95" s="10" t="inlineStr">
        <is>
          <t>12/10/2026</t>
        </is>
      </c>
      <c r="AG95" s="10" t="n"/>
      <c r="AH95" s="10" t="n"/>
      <c r="AI95" s="10" t="inlineStr">
        <is>
          <t>Personas realmente ocupadas; no equiparar vocales, puestos RPT o apoyo ministerial con plantilla</t>
        </is>
      </c>
      <c r="AJ95" s="10" t="inlineStr">
        <is>
          <t>Pendiente: sin cifra de personal ocupado verificada en el conjunto actual</t>
        </is>
      </c>
      <c r="AK95" s="10" t="n"/>
      <c r="AL95" s="12" t="n"/>
      <c r="AM95" s="10" t="n"/>
      <c r="AN95" s="10" t="n"/>
      <c r="AO95" s="10" t="inlineStr">
        <is>
          <t>Pendiente: sin coste de personal individual verificado en el conjunto actual</t>
        </is>
      </c>
      <c r="AP95" s="10" t="n"/>
      <c r="AQ95" s="12" t="n"/>
      <c r="AR95" s="10" t="n"/>
      <c r="AS95" s="10" t="n"/>
      <c r="AT95" s="10" t="n"/>
      <c r="AU95" s="10" t="n"/>
      <c r="AV95" s="10" t="inlineStr">
        <is>
          <t>Pendiente: no se ha verificado gasto salarial ejecutado individual en esta versión</t>
        </is>
      </c>
      <c r="AW95" s="10" t="inlineStr">
        <is>
          <t>SIN CIFRA INDIVIDUAL VERIFICADA de presupuesto, personal ocupado y salarios ejecutados; investigación pendiente, no prueba de falta de publicación</t>
        </is>
      </c>
      <c r="AX95" s="14" t="n"/>
      <c r="AY95" s="14" t="n"/>
      <c r="AZ95" s="14" t="n"/>
      <c r="BA95" s="14" t="n"/>
      <c r="BB95" s="14" t="n"/>
      <c r="BC95" s="10" t="inlineStr">
        <is>
          <t>Revisado: informe preceptivo HISTÓRICO juventudRioja</t>
        </is>
      </c>
      <c r="BD95" s="10" t="inlineStr">
        <is>
          <t>Art2.2 requería informeprevio para reglamentos de límitesedad distintos. Entidadextinguida2012; no atribuir poderactual al antiguoInstituto.</t>
        </is>
      </c>
      <c r="BE95" s="10" t="inlineStr">
        <is>
          <t>No veto parlamentario ni consentimiento favorable general establecido en las cláusulas revisadas.</t>
        </is>
      </c>
      <c r="BF95" s="10" t="inlineStr">
        <is>
          <t>Histórico/no veto. Textoextinción leído en repositoriojurídico secundario; no localizado BORoriginal en búsqueda específica.</t>
        </is>
      </c>
      <c r="BG95" s="10" t="inlineStr">
        <is>
          <t>Ley7/2005 art2.2; Decreto30/2012 extinción</t>
        </is>
      </c>
      <c r="BH95" s="10" t="inlineStr">
        <is>
          <t>https://www.boe.es/eli/es-ri/l/2005/06/30/7
https://vlex.es/vid/extincion-riojano-juventud-autonomo-387496288</t>
        </is>
      </c>
      <c r="BI95" s="12" t="n"/>
      <c r="BJ95" s="12" t="n"/>
      <c r="BK95" s="12" t="n"/>
      <c r="BL95" s="12" t="n"/>
      <c r="BM95" s="10" t="n"/>
      <c r="BN95" s="10" t="n"/>
      <c r="BO95" s="12" t="n"/>
      <c r="BP95" s="12" t="n"/>
      <c r="BQ95" s="12" t="n"/>
      <c r="BR95" s="12" t="n"/>
      <c r="BS95" s="12" t="n"/>
      <c r="BT95" s="12" t="n"/>
      <c r="BU95" s="12" t="n"/>
      <c r="BV95" s="27" t="inlineStr">
        <is>
          <t>Extinguida</t>
        </is>
      </c>
      <c r="BW95" s="27" t="inlineStr">
        <is>
          <t>Extinguida</t>
        </is>
      </c>
      <c r="BX95" s="27" t="inlineStr">
        <is>
          <t>Extinguida o no constituida</t>
        </is>
      </c>
      <c r="BY95" s="12" t="n"/>
      <c r="BZ95" s="27" t="inlineStr">
        <is>
          <t>No</t>
        </is>
      </c>
      <c r="CA95" s="27" t="inlineStr">
        <is>
          <t>No aplica (no vigente)</t>
        </is>
      </c>
      <c r="CB95" s="27" t="inlineStr">
        <is>
          <t>Extinguido en 2012.</t>
        </is>
      </c>
      <c r="CC95" s="12" t="n"/>
      <c r="CD95" s="12" t="n"/>
      <c r="CE95" s="27" t="inlineStr">
        <is>
          <t>Juventud</t>
        </is>
      </c>
      <c r="CF95" s="12" t="n"/>
      <c r="CG95" s="12" t="n"/>
      <c r="CH95" s="29">
        <f>IF(AND(ISNUMBER(BP95),ISNUMBER(AG95),AG95&gt;0),BP95*1000000/AG95,"")</f>
        <v/>
      </c>
      <c r="CI95" s="12" t="n"/>
      <c r="CJ95" s="12" t="n"/>
      <c r="CK95" s="12" t="n"/>
      <c r="CL95" s="12" t="n"/>
      <c r="CM95" s="12" t="n"/>
      <c r="CN95" s="12" t="n"/>
      <c r="CO95" s="12" t="n"/>
      <c r="CP95" s="12" t="n"/>
      <c r="CQ95" s="12" t="n"/>
      <c r="CR95" s="12" t="n"/>
      <c r="CS95" s="12" t="n"/>
    </row>
    <row r="96">
      <c r="A96" s="10" t="n">
        <v>95</v>
      </c>
      <c r="B96" s="10" t="inlineStr">
        <is>
          <t>Autonómico</t>
        </is>
      </c>
      <c r="C96" s="10" t="inlineStr">
        <is>
          <t>Comunitat Valenciana</t>
        </is>
      </c>
      <c r="D96" s="10" t="inlineStr">
        <is>
          <t>Periodo Rajoy</t>
        </is>
      </c>
      <c r="E96" s="10" t="inlineStr">
        <is>
          <t>Agencia de Prevención y Lucha contra el Fraude y la Corrupción (AVAF)</t>
        </is>
      </c>
      <c r="F96" s="10" t="inlineStr">
        <is>
          <t>Nueva entidad</t>
        </is>
      </c>
      <c r="G96" s="10" t="inlineStr">
        <is>
          <t>2016-11-28</t>
        </is>
      </c>
      <c r="H96" s="10" t="inlineStr">
        <is>
          <t>Ley 11/2016</t>
        </is>
      </c>
      <c r="I96" s="10" t="inlineStr">
        <is>
          <t>Prevención e investigación administrativa; protección de denunciantes.</t>
        </is>
      </c>
      <c r="J96" s="10" t="inlineStr">
        <is>
          <t>Poder de investigación y protección, con límites frente a jurisdicción penal. Memoria 2025 publicada acredita actividad, no eficacia final.</t>
        </is>
      </c>
      <c r="K96" s="11" t="n"/>
      <c r="L96" s="10" t="n"/>
      <c r="M96" s="10" t="n"/>
      <c r="N96" s="10" t="n"/>
      <c r="O96" s="10" t="inlineStr">
        <is>
          <t>Sin cifra propia actual verificada</t>
        </is>
      </c>
      <c r="P96" s="12" t="n"/>
      <c r="Q96" s="12" t="n"/>
      <c r="R96" s="10" t="inlineStr">
        <is>
          <t>No se ha verificado importe actual 2026; no trasladar proyecto o presupuesto 2025.</t>
        </is>
      </c>
      <c r="S96" s="10" t="inlineStr">
        <is>
          <t>2026, salvo indicación distinta; créditos iniciales salvo mención expresa</t>
        </is>
      </c>
      <c r="T96" s="10" t="inlineStr">
        <is>
          <t>Memoria2025 publicada marzo2026</t>
        </is>
      </c>
      <c r="U96" s="10" t="inlineStr">
        <is>
          <t>Juicio basado en mandato y evidencia citada, no en una auditoría de eficacia, personal ocupado o independencia práctica.</t>
        </is>
      </c>
      <c r="V96" s="10" t="inlineStr">
        <is>
          <t>Ámbito próximo; facultades distintas</t>
        </is>
      </c>
      <c r="W96" s="10" t="inlineStr">
        <is>
          <t>43, 56</t>
        </is>
      </c>
      <c r="X96" s="10" t="inlineStr">
        <is>
          <t>Protección de informantes, prevención de fraude sanitario e investigación administrativa autonómica. No son funciones íntegramente equivalentes ni gasto duplicado acreditado.</t>
        </is>
      </c>
      <c r="Y96" s="10" t="inlineStr">
        <is>
          <t>https://www.boe.es/eli/es/l/2023/02/20/2/con
https://boe.es/buscar/doc.php?id=BOE-A-2024-22298
https://www.igae.pap.hacienda.gob.es/sitios/igae/es-ES/Contabilidad/ContabilidadPublica/CPE/EjecucionPresupuestaria/Documents/ORGANISMOS%2008.%202026.pdf
https://www.sanidad.gob.es/organizacion/transparenciaGobierno/OCFCS/docs/ORDEN_MINISTERIAL.OBSERVATORIO_ANTIFRAUDE._FIRMA.pdf
https://www.sanidad.gob.es/organizacion/transparenciaGobierno/OCFCS/home.htm
https://vsf-iwsold-pro-portal.sanidad.gob.es/ca/gabinete/notasPrensa.do?id=6876
https://www.boe.es/buscar/doc.php?id=BOE-A-2016-12048
https://www.antifraucv.es/wp-content/uploads/2026/03/Memoria_Avaf_2025_es.pdf</t>
        </is>
      </c>
      <c r="Z96" s="10" t="inlineStr">
        <is>
          <t>https://www.boe.es/buscar/doc.php?id=BOE-A-2016-12048
https://www.antifraucv.es/wp-content/uploads/2026/03/Memoria_Avaf_2025_es.pdf</t>
        </is>
      </c>
      <c r="AA96" s="12" t="n"/>
      <c r="AB96" s="10" t="n"/>
      <c r="AC96" s="10" t="n"/>
      <c r="AD96" s="10" t="n"/>
      <c r="AE96" s="13" t="inlineStr">
        <is>
          <t>https://files.instinct.com/q91pr53q4umo-entidades-publicas-poder-y-presupuesto</t>
        </is>
      </c>
      <c r="AF96" s="10" t="inlineStr">
        <is>
          <t>12/10/2026</t>
        </is>
      </c>
      <c r="AG96" s="10" t="n"/>
      <c r="AH96" s="10" t="n"/>
      <c r="AI96" s="10" t="inlineStr">
        <is>
          <t>Personas realmente ocupadas; no equiparar vocales, puestos RPT o apoyo ministerial con plantilla</t>
        </is>
      </c>
      <c r="AJ96" s="10" t="inlineStr">
        <is>
          <t>Pendiente: sin cifra de personal ocupado verificada en el conjunto actual</t>
        </is>
      </c>
      <c r="AK96" s="10" t="n"/>
      <c r="AL96" s="12" t="n"/>
      <c r="AM96" s="10" t="n"/>
      <c r="AN96" s="10" t="n"/>
      <c r="AO96" s="10" t="inlineStr">
        <is>
          <t>Pendiente: sin coste de personal individual verificado en el conjunto actual</t>
        </is>
      </c>
      <c r="AP96" s="10" t="n"/>
      <c r="AQ96" s="12" t="n"/>
      <c r="AR96" s="10" t="n"/>
      <c r="AS96" s="10" t="n"/>
      <c r="AT96" s="10" t="n"/>
      <c r="AU96" s="10" t="n"/>
      <c r="AV96" s="10" t="inlineStr">
        <is>
          <t>Pendiente: no se ha verificado gasto salarial ejecutado individual en esta versión</t>
        </is>
      </c>
      <c r="AW96" s="10" t="inlineStr">
        <is>
          <t>SIN CIFRA INDIVIDUAL VERIFICADA de presupuesto, personal ocupado y salarios ejecutados; investigación pendiente, no prueba de falta de publicación</t>
        </is>
      </c>
      <c r="AX96" s="14" t="n"/>
      <c r="AY96" s="14" t="n"/>
      <c r="AZ96" s="14" t="n"/>
      <c r="BA96" s="14" t="n"/>
      <c r="BB96" s="14" t="n"/>
      <c r="BC96" s="10" t="inlineStr">
        <is>
          <t>Prevención, propuestas de cambios normativos e investigación anticorrupción</t>
        </is>
      </c>
      <c r="BD96" s="10" t="inlineStr">
        <is>
          <t>No informe preceptivo general sobre aprobación de leyes identificado en funciones revisadas</t>
        </is>
      </c>
      <c r="BE96" s="10" t="inlineStr">
        <is>
          <t>No consentimiento favorable o vinculación normativa establecido en funciones revisadas</t>
        </is>
      </c>
      <c r="BF96" s="10" t="inlineStr">
        <is>
          <t>No veto legislativo atribuido por las disposiciones revisadas. Proponer medidas o cambios legislativos no equivale a aprobarlos; no auditoría de todas las normas sectoriales posteriores.</t>
        </is>
      </c>
      <c r="BG96" s="10" t="inlineStr">
        <is>
          <t>Ley Foral 7/2018, arts 5-8, en especial 6(e)</t>
        </is>
      </c>
      <c r="BH96" s="10" t="inlineStr">
        <is>
          <t>https://www.boe.es/eli/es-nc/lf/2018/05/17/7</t>
        </is>
      </c>
      <c r="BI96" s="12" t="n"/>
      <c r="BJ96" s="12" t="n"/>
      <c r="BK96" s="12" t="n"/>
      <c r="BL96" s="12" t="n"/>
      <c r="BM96" s="10" t="n"/>
      <c r="BN96" s="10" t="n"/>
      <c r="BO96" s="12" t="n"/>
      <c r="BP96" s="12" t="n"/>
      <c r="BQ96" s="12" t="n"/>
      <c r="BR96" s="12" t="n"/>
      <c r="BS96" s="12" t="n"/>
      <c r="BT96" s="12" t="n"/>
      <c r="BU96" s="12" t="n"/>
      <c r="BV96" s="27" t="inlineStr">
        <is>
          <t>No útil</t>
        </is>
      </c>
      <c r="BW96" s="27" t="inlineStr">
        <is>
          <t>Integrar</t>
        </is>
      </c>
      <c r="BX96" s="27" t="inlineStr">
        <is>
          <t>Control interno y cumplimiento</t>
        </is>
      </c>
      <c r="BY96" s="27" t="inlineStr">
        <is>
          <t>Paralelo a AIPI: cada nivel actúa con sus propios fondos o competencias. 10 organismos sobre este tema entre el Estado y las CCAA (verificados).</t>
        </is>
      </c>
      <c r="BZ96" s="27" t="inlineStr">
        <is>
          <t>No</t>
        </is>
      </c>
      <c r="CA96" s="27" t="inlineStr">
        <is>
          <t>Parcial</t>
        </is>
      </c>
      <c r="CB96" s="27" t="inlineStr">
        <is>
          <t>Oficina antifraude autonómica: investiga irregularidades que también ven el órgano de control externo y la Fiscalía.</t>
        </is>
      </c>
      <c r="CC96" s="27" t="inlineStr">
        <is>
          <t>Aplicando el criterio del P100: Criterio Extramuros del 12/10/2026</t>
        </is>
      </c>
      <c r="CD96" s="27" t="inlineStr">
        <is>
          <t>Cámara o Sindicatura de Cuentas de la comunidad autónoma; para denuncias, Autoridad Independiente de Protección del Informante (AIPI) por convenio</t>
        </is>
      </c>
      <c r="CE96" s="27" t="inlineStr">
        <is>
          <t>Oficinas y agencias antifraude y de protección del informante</t>
        </is>
      </c>
      <c r="CF96" s="28" t="n">
        <v>10</v>
      </c>
      <c r="CG96" s="12" t="n"/>
      <c r="CH96" s="29">
        <f>IF(AND(ISNUMBER(BP96),ISNUMBER(AG96),AG96&gt;0),BP96*1000000/AG96,"")</f>
        <v/>
      </c>
      <c r="CI96" s="12" t="n"/>
      <c r="CJ96" s="12" t="n"/>
      <c r="CK96" s="12" t="n"/>
      <c r="CL96" s="12" t="n"/>
      <c r="CM96" s="12" t="n"/>
      <c r="CN96" s="12" t="n"/>
      <c r="CO96" s="12" t="n"/>
      <c r="CP96" s="12" t="n"/>
      <c r="CQ96" s="12" t="n"/>
      <c r="CR96" s="12" t="n"/>
      <c r="CS96" s="12" t="n"/>
    </row>
    <row r="97">
      <c r="A97" s="10" t="n">
        <v>96</v>
      </c>
      <c r="B97" s="10" t="inlineStr">
        <is>
          <t>Autonómico</t>
        </is>
      </c>
      <c r="C97" s="10" t="inlineStr">
        <is>
          <t>Madrid</t>
        </is>
      </c>
      <c r="D97" s="10" t="inlineStr">
        <is>
          <t>Sánchez</t>
        </is>
      </c>
      <c r="E97" s="10" t="inlineStr">
        <is>
          <t>Agencia Madrileña para el Apoyo a las Personas Adultas con Discapacidad</t>
        </is>
      </c>
      <c r="F97" s="10" t="inlineStr">
        <is>
          <t>Refundación: sucede a Agencia Madrileña para la Tutela de Adultos</t>
        </is>
      </c>
      <c r="G97" s="10" t="inlineStr">
        <is>
          <t>2023-02-15</t>
        </is>
      </c>
      <c r="H97" s="10" t="inlineStr">
        <is>
          <t>Ley 1/2023, de 15 de febrero</t>
        </is>
      </c>
      <c r="I97" s="10" t="inlineStr">
        <is>
          <t>Apoyo y salvaguarda jurídica de adultos con discapacidad</t>
        </is>
      </c>
      <c r="J97" s="10" t="inlineStr">
        <is>
          <t>Juicio de capacidad legal: Apoyo y salvaguarda jurídica de adultos con discapacidad. Las funciones legales no acreditan por sí solas actividad, eficacia o dotación efectiva.</t>
        </is>
      </c>
      <c r="K97" s="11" t="n"/>
      <c r="L97" s="10" t="n"/>
      <c r="M97" s="10" t="n"/>
      <c r="N97" s="10" t="n"/>
      <c r="O97" s="10" t="inlineStr">
        <is>
          <t>Sin cifra propia actual verificada</t>
        </is>
      </c>
      <c r="P97" s="12" t="n"/>
      <c r="Q97" s="12" t="n"/>
      <c r="R97" s="10" t="inlineStr">
        <is>
          <t>Sin cifra propia actual 2026 verificada; no significa cero. No atribuir presupuesto del departamento.</t>
        </is>
      </c>
      <c r="S97" s="10" t="inlineStr">
        <is>
          <t>2026 presupuesto inicial; revisión 11/10/2026</t>
        </is>
      </c>
      <c r="T97" s="10" t="inlineStr">
        <is>
          <t>Creación o transformación legal verificada. Estado operativo a 11/10/2026 no confirmado de forma independiente en esta revisión; inscripción registral comunicada por el lote no sustituye la comprobación de actividad.</t>
        </is>
      </c>
      <c r="U97" s="10" t="inlineStr">
        <is>
          <t>Capacidad legal y eficacia práctica son distintas. Estado 2026 y plantilla ocupada no auditados salvo evidencia expresamente señalada. Fecha registral distinta de creación legal.</t>
        </is>
      </c>
      <c r="V97" s="10" t="inlineStr">
        <is>
          <t>No se ha identificado relación en esta revisión (no certifica ausencia)</t>
        </is>
      </c>
      <c r="W97" s="10" t="n"/>
      <c r="X97" s="10" t="inlineStr">
        <is>
          <t>Revisión cualitativa del mandato y estado; no auditoría exhaustiva de proyectos.</t>
        </is>
      </c>
      <c r="Y97" s="10" t="n"/>
      <c r="Z97" s="10" t="inlineStr">
        <is>
          <t>https://www.boe.es/buscar/act.php?id=BOE-A-2023-13671</t>
        </is>
      </c>
      <c r="AA97" s="12" t="n"/>
      <c r="AB97" s="10" t="n"/>
      <c r="AC97" s="10" t="n"/>
      <c r="AD97" s="10" t="n"/>
      <c r="AE97" s="13" t="inlineStr">
        <is>
          <t>https://files.instinct.com/q91pr53q4umo-entidades-publicas-poder-y-presupuesto</t>
        </is>
      </c>
      <c r="AF97" s="10" t="inlineStr">
        <is>
          <t>12/10/2026</t>
        </is>
      </c>
      <c r="AG97" s="10" t="n"/>
      <c r="AH97" s="10" t="n"/>
      <c r="AI97" s="10" t="inlineStr">
        <is>
          <t>Personas ocupadas; no confundir miembros del órgano con empleados</t>
        </is>
      </c>
      <c r="AJ97" s="10" t="inlineStr">
        <is>
          <t>Sin cifra individual verificada en esta revisión</t>
        </is>
      </c>
      <c r="AK97" s="10" t="n"/>
      <c r="AL97" s="12" t="n"/>
      <c r="AM97" s="10" t="n"/>
      <c r="AN97" s="10" t="n"/>
      <c r="AO97" s="10" t="inlineStr">
        <is>
          <t>Sin crédito de personal individual verificado</t>
        </is>
      </c>
      <c r="AP97" s="10" t="n"/>
      <c r="AQ97" s="12" t="n"/>
      <c r="AR97" s="10" t="n"/>
      <c r="AS97" s="10" t="n"/>
      <c r="AT97" s="10" t="n"/>
      <c r="AU97" s="10" t="n"/>
      <c r="AV97" s="10" t="inlineStr">
        <is>
          <t>Sin ejecución individual verificada</t>
        </is>
      </c>
      <c r="AW97" s="10" t="inlineStr">
        <is>
          <t>Sin importe individual verificado; vacío no significa cero</t>
        </is>
      </c>
      <c r="AX97" s="14" t="n"/>
      <c r="AY97" s="14" t="n"/>
      <c r="AZ97" s="14" t="n"/>
      <c r="BA97" s="14" t="n"/>
      <c r="BB97" s="14" t="n"/>
      <c r="BC97" s="10" t="inlineStr">
        <is>
          <t>Revisado: ApoyoDiscapacidadMadrid: asistencia jurídica</t>
        </is>
      </c>
      <c r="BD97" s="10" t="inlineStr">
        <is>
          <t>Curatela, apoyos y administración patrimonial; no consulta legislativa general en art5.</t>
        </is>
      </c>
      <c r="BE97" s="10" t="inlineStr">
        <is>
          <t>No consentimiento favorable ni veto legislativo establecido en las cláusulas revisadas.</t>
        </is>
      </c>
      <c r="BF97" s="10" t="inlineStr">
        <is>
          <t>Revisión limitada a las atribuciones citadas: no descarta trámites sectoriales en otras normas.</t>
        </is>
      </c>
      <c r="BG97" s="10" t="inlineStr">
        <is>
          <t>Ley1/2023 art5</t>
        </is>
      </c>
      <c r="BH97" s="10" t="inlineStr">
        <is>
          <t>https://www.boe.es/buscar/act.php?id=BOE-A-2023-13671</t>
        </is>
      </c>
      <c r="BI97" s="12" t="n"/>
      <c r="BJ97" s="12" t="n"/>
      <c r="BK97" s="12" t="n"/>
      <c r="BL97" s="12" t="n"/>
      <c r="BM97" s="10" t="n"/>
      <c r="BN97" s="10" t="n"/>
      <c r="BO97" s="12" t="n"/>
      <c r="BP97" s="12" t="n"/>
      <c r="BQ97" s="12" t="n"/>
      <c r="BR97" s="12" t="n"/>
      <c r="BS97" s="12" t="n"/>
      <c r="BT97" s="12" t="n"/>
      <c r="BU97" s="12" t="n"/>
      <c r="BV97" s="27" t="inlineStr">
        <is>
          <t>Útil</t>
        </is>
      </c>
      <c r="BW97" s="27" t="inlineStr">
        <is>
          <t>Mantener</t>
        </is>
      </c>
      <c r="BX97" s="27" t="inlineStr">
        <is>
          <t>Servicio público directo</t>
        </is>
      </c>
      <c r="BY97" s="12" t="n"/>
      <c r="BZ97" s="27" t="inlineStr">
        <is>
          <t>No</t>
        </is>
      </c>
      <c r="CA97" s="27" t="inlineStr">
        <is>
          <t>Acreditada</t>
        </is>
      </c>
      <c r="CB97" s="27" t="inlineStr">
        <is>
          <t>Apoyo jurídico a adultos con discapacidad (148 personas): un servicio exigido por ley.</t>
        </is>
      </c>
      <c r="CC97" s="27" t="inlineStr">
        <is>
          <t>Aplicando el criterio del P100: Servicio directo</t>
        </is>
      </c>
      <c r="CD97" s="12" t="n"/>
      <c r="CE97" s="27" t="inlineStr">
        <is>
          <t>Discapacidad: apoyo jurídico</t>
        </is>
      </c>
      <c r="CF97" s="12" t="n"/>
      <c r="CG97" s="12" t="n"/>
      <c r="CH97" s="29">
        <f>IF(AND(ISNUMBER(BP97),ISNUMBER(AG97),AG97&gt;0),BP97*1000000/AG97,"")</f>
        <v/>
      </c>
      <c r="CI97" s="12" t="n"/>
      <c r="CJ97" s="12" t="n"/>
      <c r="CK97" s="12" t="n"/>
      <c r="CL97" s="12" t="n"/>
      <c r="CM97" s="12" t="n"/>
      <c r="CN97" s="12" t="n"/>
      <c r="CO97" s="12" t="n"/>
      <c r="CP97" s="12" t="n"/>
      <c r="CQ97" s="12" t="n"/>
      <c r="CR97" s="12" t="n"/>
      <c r="CS97" s="12" t="n"/>
    </row>
    <row r="98">
      <c r="A98" s="10" t="n">
        <v>97</v>
      </c>
      <c r="B98" s="10" t="inlineStr">
        <is>
          <t>Autonómico</t>
        </is>
      </c>
      <c r="C98" s="10" t="inlineStr">
        <is>
          <t>Andalucía</t>
        </is>
      </c>
      <c r="D98" s="10" t="inlineStr">
        <is>
          <t>Sánchez</t>
        </is>
      </c>
      <c r="E98" s="10" t="inlineStr">
        <is>
          <t>Agencia Digital de Andalucía (ADA)</t>
        </is>
      </c>
      <c r="F98" s="10" t="inlineStr">
        <is>
          <t>Creación nueva que centraliza funciones TIC dispersas</t>
        </is>
      </c>
      <c r="G98" s="10" t="inlineStr">
        <is>
          <t>2020-12-28</t>
        </is>
      </c>
      <c r="H98" s="10" t="inlineStr">
        <is>
          <t>Ley 3/2020, disposición adicional 22; Decreto 128/2021, estatutos</t>
        </is>
      </c>
      <c r="I98" s="10" t="inlineStr">
        <is>
          <t>Estrategia y ejecución TIC de la Junta (planificación, compras, infraestructuras)</t>
        </is>
      </c>
      <c r="J98" s="10" t="inlineStr">
        <is>
          <t>Juicio de capacidad legal: Estrategia y ejecución TIC de la Junta (planificación, compras, infraestructuras). Las funciones legales no acreditan por sí solas actividad, eficacia o dotación efectiva.</t>
        </is>
      </c>
      <c r="K98" s="11" t="n">
        <v>492.887081</v>
      </c>
      <c r="L98" s="10" t="n">
        <v>2026</v>
      </c>
      <c r="M98" s="10" t="inlineStr">
        <is>
          <t>Crédito inicial aprobado</t>
        </is>
      </c>
      <c r="N98" s="10" t="inlineStr">
        <is>
          <t>2026, crédito aprobado</t>
        </is>
      </c>
      <c r="O98" s="10" t="inlineStr">
        <is>
          <t>Cifra propia verificada</t>
        </is>
      </c>
      <c r="P98" s="12" t="n">
        <v>492.887081</v>
      </c>
      <c r="Q98" s="12" t="n"/>
      <c r="R98" s="10" t="inlineStr">
        <is>
          <t>Crédito propio inicial aprobado 2026: 492.887081 millones EUR (Ley 8/2025, p. 18, columna Gastos). No es ejecución ni solo coste administrativo.</t>
        </is>
      </c>
      <c r="S98" s="10" t="inlineStr">
        <is>
          <t>2026 presupuesto inicial; revisión 11/10/2026</t>
        </is>
      </c>
      <c r="T98" s="10" t="inlineStr">
        <is>
          <t>Crédito propio aprobado 2026 verificado. No se ha auditado actividad, plantilla ocupada o ejecución.</t>
        </is>
      </c>
      <c r="U98" s="10" t="inlineStr">
        <is>
          <t>Capacidad legal y eficacia práctica son distintas. Estado 2026 y plantilla ocupada no auditados salvo evidencia expresamente señalada. Fecha registral distinta de creación legal.</t>
        </is>
      </c>
      <c r="V98" s="10" t="inlineStr">
        <is>
          <t>No se ha identificado relación en esta revisión (no certifica ausencia)</t>
        </is>
      </c>
      <c r="W98" s="10" t="n"/>
      <c r="X98" s="10" t="inlineStr">
        <is>
          <t>Revisión cualitativa del mandato y estado; no auditoría exhaustiva de proyectos.</t>
        </is>
      </c>
      <c r="Y98" s="10" t="n"/>
      <c r="Z98" s="10" t="inlineStr">
        <is>
          <t>https://www.juntadeandalucia.es/boja/2021/65/BOJA21-065-00082-5780-01_00189672.pdf
https://www.boe.es/buscar/pdf/2026/BOE-A-2026-945-consolidado.pdf
https://www.boe.es/eli/es-an/l/2020/12/28/3
https://www.juntadeandalucia.es/boja/2021/65/43</t>
        </is>
      </c>
      <c r="AA98" s="12" t="n"/>
      <c r="AB98" s="10" t="n"/>
      <c r="AC98" s="10" t="n"/>
      <c r="AD98" s="10" t="n"/>
      <c r="AE98" s="13" t="inlineStr">
        <is>
          <t>https://files.instinct.com/q91pr53q4umo-entidades-publicas-poder-y-presupuesto</t>
        </is>
      </c>
      <c r="AF98" s="10" t="inlineStr">
        <is>
          <t>12/10/2026</t>
        </is>
      </c>
      <c r="AG98" s="10" t="n"/>
      <c r="AH98" s="10" t="n"/>
      <c r="AI98" s="10" t="inlineStr">
        <is>
          <t>Personas ocupadas; no confundir miembros del órgano con empleados</t>
        </is>
      </c>
      <c r="AJ98" s="10" t="inlineStr">
        <is>
          <t>Sin cifra individual verificada en esta revisión</t>
        </is>
      </c>
      <c r="AK98" s="10" t="n"/>
      <c r="AL98" s="12" t="n"/>
      <c r="AM98" s="10" t="n"/>
      <c r="AN98" s="10" t="n"/>
      <c r="AO98" s="10" t="inlineStr">
        <is>
          <t>Sin crédito de personal individual verificado</t>
        </is>
      </c>
      <c r="AP98" s="10" t="n"/>
      <c r="AQ98" s="12" t="n"/>
      <c r="AR98" s="10" t="n"/>
      <c r="AS98" s="10" t="n"/>
      <c r="AT98" s="10" t="n"/>
      <c r="AU98" s="10" t="n"/>
      <c r="AV98" s="10" t="inlineStr">
        <is>
          <t>Sin ejecución individual verificada</t>
        </is>
      </c>
      <c r="AW98" s="10" t="inlineStr">
        <is>
          <t>Presupuesto propio verificado; personal y salarios ejecutados pendientes</t>
        </is>
      </c>
      <c r="AX98" s="14" t="n"/>
      <c r="AY98" s="14" t="n"/>
      <c r="AZ98" s="14" t="n"/>
      <c r="BA98" s="14" t="n"/>
      <c r="BB98" s="14" t="n"/>
      <c r="BC98" s="10" t="inlineStr">
        <is>
          <t>Revisado: ADA: asistencia técnica digital</t>
        </is>
      </c>
      <c r="BD98" s="10" t="inlineStr">
        <is>
          <t>Estatuto art6 incluye asistencia TIC y propuestas de simplificación. No informe preceptivo general de normas identificado allí.</t>
        </is>
      </c>
      <c r="BE98" s="10" t="inlineStr">
        <is>
          <t>No consentimiento favorable ni veto legislativo establecido en las cláusulas revisadas.</t>
        </is>
      </c>
      <c r="BF98" s="10" t="inlineStr">
        <is>
          <t>Revisión limitada a las atribuciones citadas: no descarta trámites sectoriales en otras normas.</t>
        </is>
      </c>
      <c r="BG98" s="10" t="inlineStr">
        <is>
          <t>Decreto128/2021 estatutoart6</t>
        </is>
      </c>
      <c r="BH98" s="10" t="inlineStr">
        <is>
          <t>https://www.juntadeandalucia.es/boja/2021/65/43</t>
        </is>
      </c>
      <c r="BI98" s="12" t="n"/>
      <c r="BJ98" s="12" t="n"/>
      <c r="BK98" s="12" t="n"/>
      <c r="BL98" s="12" t="n"/>
      <c r="BM98" s="10" t="n"/>
      <c r="BN98" s="10" t="n"/>
      <c r="BO98" s="12" t="n"/>
      <c r="BP98" s="12" t="n"/>
      <c r="BQ98" s="12" t="n"/>
      <c r="BR98" s="12" t="n"/>
      <c r="BS98" s="12" t="n"/>
      <c r="BT98" s="12" t="n"/>
      <c r="BU98" s="12" t="n"/>
      <c r="BV98" s="27" t="inlineStr">
        <is>
          <t>No útil</t>
        </is>
      </c>
      <c r="BW98" s="27" t="inlineStr">
        <is>
          <t>Integrar</t>
        </is>
      </c>
      <c r="BX98" s="27" t="inlineStr">
        <is>
          <t>Servicio público directo</t>
        </is>
      </c>
      <c r="BY98" s="27" t="inlineStr">
        <is>
          <t>Competencia autonómica que el Estado no presta en ese territorio; la duplicidad es de forma (agencia propia o dirección general). 10 organismos sobre este tema entre el Estado y las CCAA (verificados).</t>
        </is>
      </c>
      <c r="BZ98" s="27" t="inlineStr">
        <is>
          <t>No</t>
        </is>
      </c>
      <c r="CA98" s="27" t="inlineStr">
        <is>
          <t>Acreditada</t>
        </is>
      </c>
      <c r="CB98" s="27" t="inlineStr">
        <is>
          <t>Agencia digital autonómica: el P100 hace una sola web y una sola aplicación para todo el Estado, a la que se suman las comunidades.</t>
        </is>
      </c>
      <c r="CC98" s="27" t="inlineStr">
        <is>
          <t>Explícito en el P100: Organización del Estado 17 y criterio Extramuros del 12/10/2026 («con una nacional basta»)</t>
        </is>
      </c>
      <c r="CD98" s="27" t="inlineStr">
        <is>
          <t>Agencia Estatal de Administración Digital (AEAD) y web única del Estado</t>
        </is>
      </c>
      <c r="CE98" s="27" t="inlineStr">
        <is>
          <t>Agencias de administración digital y TIC</t>
        </is>
      </c>
      <c r="CF98" s="28" t="n">
        <v>10</v>
      </c>
      <c r="CG98" s="12" t="n"/>
      <c r="CH98" s="29">
        <f>IF(AND(ISNUMBER(BP98),ISNUMBER(AG98),AG98&gt;0),BP98*1000000/AG98,"")</f>
        <v/>
      </c>
      <c r="CI98" s="12" t="n"/>
      <c r="CJ98" s="12" t="n"/>
      <c r="CK98" s="12" t="n"/>
      <c r="CL98" s="12" t="n"/>
      <c r="CM98" s="12" t="n"/>
      <c r="CN98" s="12" t="n"/>
      <c r="CO98" s="12" t="n"/>
      <c r="CP98" s="12" t="n"/>
      <c r="CQ98" s="12" t="n"/>
      <c r="CR98" s="12" t="n"/>
      <c r="CS98" s="12" t="n"/>
    </row>
    <row r="99">
      <c r="A99" s="10" t="n">
        <v>98</v>
      </c>
      <c r="B99" s="10" t="inlineStr">
        <is>
          <t>Autonómico</t>
        </is>
      </c>
      <c r="C99" s="10" t="inlineStr">
        <is>
          <t>Andalucía</t>
        </is>
      </c>
      <c r="D99" s="10" t="inlineStr">
        <is>
          <t>Sánchez</t>
        </is>
      </c>
      <c r="E99" s="10" t="inlineStr">
        <is>
          <t>Agencia Empresarial para la Transformación y el Desarrollo Económico (TRADE)</t>
        </is>
      </c>
      <c r="F99" s="10" t="inlineStr">
        <is>
          <t>Reordenación e integración de funciones preexistentes</t>
        </is>
      </c>
      <c r="G99" s="10" t="inlineStr">
        <is>
          <t>2021-08-03</t>
        </is>
      </c>
      <c r="H99" s="10" t="inlineStr">
        <is>
          <t>Decreto-ley 16/2021; sustituido por Ley 9/2021</t>
        </is>
      </c>
      <c r="I99" s="10" t="inlineStr">
        <is>
          <t>Internacionalización, atracción de inversión, desarrollo empresarial</t>
        </is>
      </c>
      <c r="J99" s="10" t="inlineStr">
        <is>
          <t>Juicio de capacidad legal: Internacionalización, atracción de inversión, desarrollo empresarial. Las funciones legales no acreditan por sí solas actividad, eficacia o dotación efectiva.</t>
        </is>
      </c>
      <c r="K99" s="11" t="n"/>
      <c r="L99" s="10" t="n"/>
      <c r="M99" s="10" t="n"/>
      <c r="N99" s="10" t="n"/>
      <c r="O99" s="10" t="inlineStr">
        <is>
          <t>Sin cifra propia actual verificada</t>
        </is>
      </c>
      <c r="P99" s="12" t="n"/>
      <c r="Q99" s="12" t="n"/>
      <c r="R99" s="10" t="inlineStr">
        <is>
          <t>Sin cifra propia actual 2026 verificada; no significa cero. No atribuir presupuesto del departamento.</t>
        </is>
      </c>
      <c r="S99" s="10" t="inlineStr">
        <is>
          <t>2026 presupuesto inicial; revisión 11/10/2026</t>
        </is>
      </c>
      <c r="T99" s="10" t="inlineStr">
        <is>
          <t>Creación o transformación legal verificada. Estado operativo a 11/10/2026 no confirmado de forma independiente en esta revisión; inscripción registral comunicada por el lote no sustituye la comprobación de actividad.</t>
        </is>
      </c>
      <c r="U99" s="10" t="inlineStr">
        <is>
          <t>Capacidad legal y eficacia práctica son distintas. Estado 2026 y plantilla ocupada no auditados salvo evidencia expresamente señalada. Fecha registral distinta de creación legal.</t>
        </is>
      </c>
      <c r="V99" s="10" t="inlineStr">
        <is>
          <t>No se ha identificado relación en esta revisión (no certifica ausencia)</t>
        </is>
      </c>
      <c r="W99" s="10" t="n"/>
      <c r="X99" s="10" t="inlineStr">
        <is>
          <t>Revisión cualitativa del mandato y estado; no auditoría exhaustiva de proyectos.</t>
        </is>
      </c>
      <c r="Y99" s="10" t="n"/>
      <c r="Z99" s="10" t="inlineStr">
        <is>
          <t>https://www.juntadeandalucia.es/boja/2021/250/2
https://www.boe.es/buscar/act.php?id=BOJA-b-2021-90321
https://www.boe.es/buscar/act.php?id=BOE-A-2022-757</t>
        </is>
      </c>
      <c r="AA99" s="12" t="n"/>
      <c r="AB99" s="10" t="n"/>
      <c r="AC99" s="10" t="n"/>
      <c r="AD99" s="10" t="n"/>
      <c r="AE99" s="13" t="inlineStr">
        <is>
          <t>https://files.instinct.com/q91pr53q4umo-entidades-publicas-poder-y-presupuesto</t>
        </is>
      </c>
      <c r="AF99" s="10" t="inlineStr">
        <is>
          <t>12/10/2026</t>
        </is>
      </c>
      <c r="AG99" s="10" t="n"/>
      <c r="AH99" s="10" t="n"/>
      <c r="AI99" s="10" t="inlineStr">
        <is>
          <t>Personas ocupadas; no confundir miembros del órgano con empleados</t>
        </is>
      </c>
      <c r="AJ99" s="10" t="inlineStr">
        <is>
          <t>Sin cifra individual verificada en esta revisión</t>
        </is>
      </c>
      <c r="AK99" s="10" t="n"/>
      <c r="AL99" s="12" t="n"/>
      <c r="AM99" s="10" t="n"/>
      <c r="AN99" s="10" t="n"/>
      <c r="AO99" s="10" t="inlineStr">
        <is>
          <t>Sin crédito de personal individual verificado</t>
        </is>
      </c>
      <c r="AP99" s="10" t="n"/>
      <c r="AQ99" s="12" t="n"/>
      <c r="AR99" s="10" t="n"/>
      <c r="AS99" s="10" t="n"/>
      <c r="AT99" s="10" t="n"/>
      <c r="AU99" s="10" t="n"/>
      <c r="AV99" s="10" t="inlineStr">
        <is>
          <t>Sin ejecución individual verificada</t>
        </is>
      </c>
      <c r="AW99" s="10" t="inlineStr">
        <is>
          <t>Sin importe individual verificado; vacío no significa cero</t>
        </is>
      </c>
      <c r="AX99" s="14" t="n"/>
      <c r="AY99" s="14" t="n"/>
      <c r="AZ99" s="14" t="n"/>
      <c r="BA99" s="14" t="n"/>
      <c r="BB99" s="14" t="n"/>
      <c r="BC99" s="10" t="inlineStr">
        <is>
          <t>Revisado: TRADE financiación y asistencia</t>
        </is>
      </c>
      <c r="BD99" s="10" t="inlineStr">
        <is>
          <t>Funcionesestatuto de promoción/financiación y asistenciaempresa; no informe legislativo general en funciones.</t>
        </is>
      </c>
      <c r="BE99" s="10" t="inlineStr">
        <is>
          <t>No veto parlamentario ni consentimiento favorable general establecido en las cláusulas revisadas.</t>
        </is>
      </c>
      <c r="BF99" s="10" t="inlineStr">
        <is>
          <t>Alcance limitado a norma y atribuciones citadas; no descarta reglas sectoriales adicionales.</t>
        </is>
      </c>
      <c r="BG99" s="10" t="inlineStr">
        <is>
          <t>Decreto69/2023 estatutoarts5-6</t>
        </is>
      </c>
      <c r="BH99" s="10" t="inlineStr">
        <is>
          <t>https://www.juntadeandalucia.es/boja/2023/57/BOJA23-057-00031-5484-01_00280535.pdf</t>
        </is>
      </c>
      <c r="BI99" s="12" t="n"/>
      <c r="BJ99" s="12" t="n"/>
      <c r="BK99" s="12" t="n"/>
      <c r="BL99" s="12" t="n"/>
      <c r="BM99" s="10" t="n"/>
      <c r="BN99" s="10" t="n"/>
      <c r="BO99" s="12" t="n"/>
      <c r="BP99" s="12" t="n"/>
      <c r="BQ99" s="12" t="n"/>
      <c r="BR99" s="12" t="n"/>
      <c r="BS99" s="12" t="n"/>
      <c r="BT99" s="12" t="n"/>
      <c r="BU99" s="12" t="n"/>
      <c r="BV99" s="27" t="inlineStr">
        <is>
          <t>No útil</t>
        </is>
      </c>
      <c r="BW99" s="27" t="inlineStr">
        <is>
          <t>Integrar</t>
        </is>
      </c>
      <c r="BX99" s="27" t="inlineStr">
        <is>
          <t>Financiación y ayudas</t>
        </is>
      </c>
      <c r="BY99" s="12" t="n"/>
      <c r="BZ99" s="27" t="inlineStr">
        <is>
          <t>No</t>
        </is>
      </c>
      <c r="CA99" s="27" t="inlineStr">
        <is>
          <t>Acreditada</t>
        </is>
      </c>
      <c r="CB99" s="27" t="inlineStr">
        <is>
          <t>Agencia andaluza de apoyo empresarial e internacionalización; esas funciones ya las cubren instrumentos estatales.</t>
        </is>
      </c>
      <c r="CC99" s="27" t="inlineStr">
        <is>
          <t>Aplicando el criterio del P100: Criterio Extramuros del 12/10/2026 y Crecer y producir 5</t>
        </is>
      </c>
      <c r="CD99" s="27" t="inlineStr">
        <is>
          <t>Consejería competente e instrumentos estatales (ICO, ENISA y CDTI, E.P.E.)</t>
        </is>
      </c>
      <c r="CE99" s="27" t="inlineStr">
        <is>
          <t>Desarrollo empresarial</t>
        </is>
      </c>
      <c r="CF99" s="12" t="n"/>
      <c r="CG99" s="12" t="n"/>
      <c r="CH99" s="29">
        <f>IF(AND(ISNUMBER(BP99),ISNUMBER(AG99),AG99&gt;0),BP99*1000000/AG99,"")</f>
        <v/>
      </c>
      <c r="CI99" s="12" t="n"/>
      <c r="CJ99" s="12" t="n"/>
      <c r="CK99" s="12" t="n"/>
      <c r="CL99" s="12" t="n"/>
      <c r="CM99" s="12" t="n"/>
      <c r="CN99" s="12" t="n"/>
      <c r="CO99" s="12" t="n"/>
      <c r="CP99" s="12" t="n"/>
      <c r="CQ99" s="12" t="n"/>
      <c r="CR99" s="12" t="n"/>
      <c r="CS99" s="12" t="n"/>
    </row>
    <row r="100">
      <c r="A100" s="10" t="n">
        <v>99</v>
      </c>
      <c r="B100" s="10" t="inlineStr">
        <is>
          <t>Autonómico</t>
        </is>
      </c>
      <c r="C100" s="10" t="inlineStr">
        <is>
          <t>Andalucía</t>
        </is>
      </c>
      <c r="D100" s="10" t="inlineStr">
        <is>
          <t>Sánchez</t>
        </is>
      </c>
      <c r="E100" s="10" t="inlineStr">
        <is>
          <t>Agencia para la Calidad Científica y Universitaria de Andalucía (ACCUA)</t>
        </is>
      </c>
      <c r="F100" s="10" t="inlineStr">
        <is>
          <t>Reordenación: evaluación y acreditación antes en Agencia Andaluza del Conocimiento</t>
        </is>
      </c>
      <c r="G100" s="10" t="inlineStr">
        <is>
          <t>2021-08-03</t>
        </is>
      </c>
      <c r="H100" s="10" t="inlineStr">
        <is>
          <t>Decreto-ley 16/2021; sustituido por Ley 9/2021</t>
        </is>
      </c>
      <c r="I100" s="10" t="inlineStr">
        <is>
          <t>Evaluación de calidad del sistema universitario y científico andaluz</t>
        </is>
      </c>
      <c r="J100" s="10" t="inlineStr">
        <is>
          <t>Juicio de capacidad legal: Evaluación de calidad del sistema universitario y científico andaluz. Las funciones legales no acreditan por sí solas actividad, eficacia o dotación efectiva.</t>
        </is>
      </c>
      <c r="K100" s="11" t="n">
        <v>3.901802</v>
      </c>
      <c r="L100" s="10" t="n">
        <v>2026</v>
      </c>
      <c r="M100" s="10" t="inlineStr">
        <is>
          <t>Crédito inicial aprobado</t>
        </is>
      </c>
      <c r="N100" s="10" t="inlineStr">
        <is>
          <t>2026, crédito aprobado</t>
        </is>
      </c>
      <c r="O100" s="10" t="inlineStr">
        <is>
          <t>Cifra propia verificada</t>
        </is>
      </c>
      <c r="P100" s="12" t="n">
        <v>3.901802</v>
      </c>
      <c r="Q100" s="12" t="n"/>
      <c r="R100" s="10" t="inlineStr">
        <is>
          <t>Crédito propio inicial aprobado 2026: 3.901802 millones EUR (Ley 8/2025, p. 18, columna Gastos). No es ejecución ni solo coste administrativo.</t>
        </is>
      </c>
      <c r="S100" s="10" t="inlineStr">
        <is>
          <t>2026 presupuesto inicial; revisión 11/10/2026</t>
        </is>
      </c>
      <c r="T100" s="10" t="inlineStr">
        <is>
          <t>Crédito propio aprobado 2026 verificado. No se ha auditado actividad, plantilla ocupada o ejecución.</t>
        </is>
      </c>
      <c r="U100" s="10" t="inlineStr">
        <is>
          <t>Capacidad legal y eficacia práctica son distintas. Estado 2026 y plantilla ocupada no auditados salvo evidencia expresamente señalada. Fecha registral distinta de creación legal.</t>
        </is>
      </c>
      <c r="V100" s="10" t="inlineStr">
        <is>
          <t>No se ha identificado relación en esta revisión (no certifica ausencia)</t>
        </is>
      </c>
      <c r="W100" s="10" t="n"/>
      <c r="X100" s="10" t="inlineStr">
        <is>
          <t>Revisión cualitativa del mandato y estado; no auditoría exhaustiva de proyectos.</t>
        </is>
      </c>
      <c r="Y100" s="10" t="n"/>
      <c r="Z100" s="10" t="inlineStr">
        <is>
          <t>https://www.juntadeandalucia.es/boja/2021/250/2
https://www.boe.es/buscar/pdf/2026/BOE-A-2026-945-consolidado.pdf
https://www.boe.es/buscar/act.php?id=BOJA-b-2021-90321
https://www.boe.es/buscar/act.php?id=BOE-A-2022-757</t>
        </is>
      </c>
      <c r="AA100" s="12" t="n"/>
      <c r="AB100" s="10" t="n"/>
      <c r="AC100" s="10" t="n"/>
      <c r="AD100" s="10" t="n"/>
      <c r="AE100" s="13" t="inlineStr">
        <is>
          <t>https://files.instinct.com/q91pr53q4umo-entidades-publicas-poder-y-presupuesto</t>
        </is>
      </c>
      <c r="AF100" s="10" t="inlineStr">
        <is>
          <t>12/10/2026</t>
        </is>
      </c>
      <c r="AG100" s="10" t="n"/>
      <c r="AH100" s="10" t="n"/>
      <c r="AI100" s="10" t="inlineStr">
        <is>
          <t>Personas ocupadas; no confundir miembros del órgano con empleados</t>
        </is>
      </c>
      <c r="AJ100" s="10" t="inlineStr">
        <is>
          <t>Sin cifra individual verificada en esta revisión</t>
        </is>
      </c>
      <c r="AK100" s="10" t="n"/>
      <c r="AL100" s="12" t="n">
        <v>2.279024</v>
      </c>
      <c r="AM100" s="10" t="n">
        <v>2026</v>
      </c>
      <c r="AN100" s="10" t="inlineStr">
        <is>
          <t>cap.1 gastos de personal, crédito 2026 (sección 15.31 propia; sin columna OTRAS SEC. (todo en sección propia))</t>
        </is>
      </c>
      <c r="AO100" s="10" t="inlineStr">
        <is>
          <t>Fuente primaria: tabla visual cotejada; crédito, no ejecución</t>
        </is>
      </c>
      <c r="AP100" s="10" t="inlineStr">
        <is>
          <t>https://www.juntadeandalucia.es/export/presup2026/estado/programas/estadoIII-a-7.pdf</t>
        </is>
      </c>
      <c r="AQ100" s="12" t="n"/>
      <c r="AR100" s="10" t="n"/>
      <c r="AS100" s="10" t="n"/>
      <c r="AT100" s="10" t="n"/>
      <c r="AU100" s="10" t="n"/>
      <c r="AV100" s="10" t="inlineStr">
        <is>
          <t>Sin ejecución individual verificada</t>
        </is>
      </c>
      <c r="AW100" s="10" t="inlineStr">
        <is>
          <t>Presupuesto propio verificado; personal y salarios ejecutados pendientes</t>
        </is>
      </c>
      <c r="AX100" s="14" t="n">
        <v>12</v>
      </c>
      <c r="AY100" s="14" t="inlineStr">
        <is>
          <t>2026</t>
        </is>
      </c>
      <c r="AZ100" s="14" t="inlineStr">
        <is>
          <t>personas presupuestadas 2026 sección 15.31 (budgeted, NO ocupación real)</t>
        </is>
      </c>
      <c r="BA100" s="14" t="inlineStr">
        <is>
          <t>https://www.juntadeandalucia.es/export/presup2026/estado/programas/estadoIII-a-7.pdf</t>
        </is>
      </c>
      <c r="BB100" s="14" t="inlineStr">
        <is>
          <t>Programa4.2.K:12 personas presupuestadas, cap1 2.279024M; total3.901802M, todo en sección propia. NO ocupación.</t>
        </is>
      </c>
      <c r="BC100" s="10" t="inlineStr">
        <is>
          <t>Revisado: ACCUA informes sectoriales, algunos VINCULANTES</t>
        </is>
      </c>
      <c r="BD100" s="10" t="inlineStr">
        <is>
          <t>Universidades: facultativo/no vinculante(7d). InstitutosUniversitariosInvestigación: preceptivo/vinculante(7l). Academias y estatutos: preceptivo/no vinculante(7m).</t>
        </is>
      </c>
      <c r="BE100" s="10" t="inlineStr">
        <is>
          <t>SÍ vinculante para creación institutosuniversitariosinvestigación; NO para universidades ni academias.</t>
        </is>
      </c>
      <c r="BF100" s="10" t="inlineStr">
        <is>
          <t>Filtro obligatorio en decisión sectorial específica; no veto general a ley parlamentaria.</t>
        </is>
      </c>
      <c r="BG100" s="10" t="inlineStr">
        <is>
          <t>Decreto17/2023 estatutoart7d,l,m</t>
        </is>
      </c>
      <c r="BH100" s="10" t="inlineStr">
        <is>
          <t>https://www.juntadeandalucia.es/boja/2023/39/BOJA23-039-00024-3125-01_00278198.pdf</t>
        </is>
      </c>
      <c r="BI100" s="12" t="n"/>
      <c r="BJ100" s="12" t="n"/>
      <c r="BK100" s="12" t="n"/>
      <c r="BL100" s="12" t="n"/>
      <c r="BM100" s="10" t="n"/>
      <c r="BN100" s="10" t="n"/>
      <c r="BO100" s="12" t="n"/>
      <c r="BP100" s="12" t="n"/>
      <c r="BQ100" s="12" t="n"/>
      <c r="BR100" s="12" t="n"/>
      <c r="BS100" s="12" t="n"/>
      <c r="BT100" s="12" t="n"/>
      <c r="BU100" s="12" t="n"/>
      <c r="BV100" s="27" t="inlineStr">
        <is>
          <t>No útil</t>
        </is>
      </c>
      <c r="BW100" s="27" t="inlineStr">
        <is>
          <t>Integrar</t>
        </is>
      </c>
      <c r="BX100" s="27" t="inlineStr">
        <is>
          <t>Control interno y cumplimiento</t>
        </is>
      </c>
      <c r="BY100" s="27" t="inlineStr">
        <is>
          <t>Duplica a ANECA, que ya cubre este territorio o puede hacerlo. 11 organismos sobre este tema entre el Estado y las CCAA (verificados).</t>
        </is>
      </c>
      <c r="BZ100" s="27" t="inlineStr">
        <is>
          <t>No</t>
        </is>
      </c>
      <c r="CA100" s="27" t="inlineStr">
        <is>
          <t>Acreditada</t>
        </is>
      </c>
      <c r="CB100" s="27" t="inlineStr">
        <is>
          <t>Agencia autonómica de calidad universitaria; ANECA ya evalúa en las siete comunidades sin agencia propia.</t>
        </is>
      </c>
      <c r="CC100" s="27" t="inlineStr">
        <is>
          <t>Aplicando el criterio del P100: Criterio Extramuros del 12/10/2026</t>
        </is>
      </c>
      <c r="CD100" s="27" t="inlineStr">
        <is>
          <t>Agencia Nacional de Evaluación de la Calidad y Acreditación (ANECA)</t>
        </is>
      </c>
      <c r="CE100" s="27" t="inlineStr">
        <is>
          <t>Agencias de calidad universitaria</t>
        </is>
      </c>
      <c r="CF100" s="28" t="n">
        <v>11</v>
      </c>
      <c r="CG100" s="12" t="n"/>
      <c r="CH100" s="29">
        <f>IF(AND(ISNUMBER(BP100),ISNUMBER(AG100),AG100&gt;0),BP100*1000000/AG100,"")</f>
        <v/>
      </c>
      <c r="CI100" s="12" t="n"/>
      <c r="CJ100" s="12" t="n"/>
      <c r="CK100" s="12" t="n"/>
      <c r="CL100" s="12" t="n"/>
      <c r="CM100" s="12" t="n"/>
      <c r="CN100" s="12" t="n"/>
      <c r="CO100" s="12" t="n"/>
      <c r="CP100" s="12" t="n"/>
      <c r="CQ100" s="12" t="n"/>
      <c r="CR100" s="12" t="n"/>
      <c r="CS100" s="12" t="n"/>
    </row>
    <row r="101">
      <c r="A101" s="10" t="n">
        <v>100</v>
      </c>
      <c r="B101" s="10" t="inlineStr">
        <is>
          <t>Autonómico</t>
        </is>
      </c>
      <c r="C101" s="10" t="inlineStr">
        <is>
          <t>Andalucía</t>
        </is>
      </c>
      <c r="D101" s="10" t="inlineStr">
        <is>
          <t>Sánchez</t>
        </is>
      </c>
      <c r="E101" s="10" t="inlineStr">
        <is>
          <t>Instituto de Salud de Andalucía (ISA)</t>
        </is>
      </c>
      <c r="F101" s="10" t="inlineStr">
        <is>
          <t>Integración de Fundación Progreso y Salud, Escuela Andaluza de Salud Pública y funciones del departamento</t>
        </is>
      </c>
      <c r="G101" s="10" t="inlineStr">
        <is>
          <t>2024-06-21</t>
        </is>
      </c>
      <c r="H101" s="10" t="inlineStr">
        <is>
          <t>Ley 1/2024, de 21 de junio</t>
        </is>
      </c>
      <c r="I101" s="10" t="inlineStr">
        <is>
          <t>Coordinación de salud pública, investigación y formación sanitaria</t>
        </is>
      </c>
      <c r="J101" s="10" t="inlineStr">
        <is>
          <t>Juicio de capacidad legal: Coordinación de salud pública, investigación y formación sanitaria. Las funciones legales no acreditan por sí solas actividad, eficacia o dotación efectiva.</t>
        </is>
      </c>
      <c r="K101" s="11" t="n">
        <v>56.356937</v>
      </c>
      <c r="L101" s="10" t="n">
        <v>2026</v>
      </c>
      <c r="M101" s="10" t="inlineStr">
        <is>
          <t>Crédito inicial aprobado</t>
        </is>
      </c>
      <c r="N101" s="10" t="inlineStr">
        <is>
          <t>2026, crédito aprobado</t>
        </is>
      </c>
      <c r="O101" s="10" t="inlineStr">
        <is>
          <t>Cifra propia verificada</t>
        </is>
      </c>
      <c r="P101" s="12" t="n">
        <v>56.356937</v>
      </c>
      <c r="Q101" s="12" t="n"/>
      <c r="R101" s="10" t="inlineStr">
        <is>
          <t>Crédito propio inicial aprobado 2026: 56.356937 millones EUR (Ley 8/2025, p. 18, columna Gastos). No es ejecución ni solo coste administrativo.</t>
        </is>
      </c>
      <c r="S101" s="10" t="inlineStr">
        <is>
          <t>2026 presupuesto inicial; revisión 11/10/2026</t>
        </is>
      </c>
      <c r="T101" s="10" t="inlineStr">
        <is>
          <t>La ley 2026 aprueba crédito propio, pero contempla transición si no había empezado a funcionar; puesta en funcionamientoOct 2026 no confirmada.</t>
        </is>
      </c>
      <c r="U101" s="10" t="inlineStr">
        <is>
          <t>Capacidad legal y eficacia práctica son distintas. Estado 2026 y plantilla ocupada no auditados salvo evidencia expresamente señalada. Fecha registral distinta de creación legal.</t>
        </is>
      </c>
      <c r="V101" s="10" t="inlineStr">
        <is>
          <t>No se ha identificado relación en esta revisión (no certifica ausencia)</t>
        </is>
      </c>
      <c r="W101" s="10" t="n"/>
      <c r="X101" s="10" t="inlineStr">
        <is>
          <t>Revisión cualitativa del mandato y estado; no auditoría exhaustiva de proyectos.</t>
        </is>
      </c>
      <c r="Y101" s="10" t="n"/>
      <c r="Z101" s="10" t="inlineStr">
        <is>
          <t>https://www.boe.es/buscar/act.php?id=BOE-A-2024-13825
https://www.boe.es/buscar/pdf/2026/BOE-A-2026-945-consolidado.pdf</t>
        </is>
      </c>
      <c r="AA101" s="12" t="n"/>
      <c r="AB101" s="10" t="n"/>
      <c r="AC101" s="10" t="n"/>
      <c r="AD101" s="10" t="n"/>
      <c r="AE101" s="13" t="inlineStr">
        <is>
          <t>https://files.instinct.com/q91pr53q4umo-entidades-publicas-poder-y-presupuesto</t>
        </is>
      </c>
      <c r="AF101" s="10" t="inlineStr">
        <is>
          <t>12/10/2026</t>
        </is>
      </c>
      <c r="AG101" s="10" t="n"/>
      <c r="AH101" s="10" t="n"/>
      <c r="AI101" s="10" t="inlineStr">
        <is>
          <t>Personas ocupadas; no confundir miembros del órgano con empleados</t>
        </is>
      </c>
      <c r="AJ101" s="10" t="inlineStr">
        <is>
          <t>Sin cifra individual verificada en esta revisión</t>
        </is>
      </c>
      <c r="AK101" s="10" t="n"/>
      <c r="AL101" s="12" t="n">
        <v>29.027069</v>
      </c>
      <c r="AM101" s="10" t="n">
        <v>2026</v>
      </c>
      <c r="AN101" s="10" t="inlineStr">
        <is>
          <t>cap.1 gastos de personal, crédito 2026 (sección 13.32 propia; sin columna OTRAS SEC.; Instituto de Salud de Andalucía (ISA))</t>
        </is>
      </c>
      <c r="AO101" s="10" t="inlineStr">
        <is>
          <t>Fuente primaria: tabla visual cotejada; crédito, no ejecución</t>
        </is>
      </c>
      <c r="AP101" s="10" t="inlineStr">
        <is>
          <t>https://www.juntadeandalucia.es/export/presup2026/estado/programas/estadoIII-a-5.pdf</t>
        </is>
      </c>
      <c r="AQ101" s="12" t="n"/>
      <c r="AR101" s="10" t="n"/>
      <c r="AS101" s="10" t="n"/>
      <c r="AT101" s="10" t="n"/>
      <c r="AU101" s="10" t="n"/>
      <c r="AV101" s="10" t="inlineStr">
        <is>
          <t>Sin ejecución individual verificada</t>
        </is>
      </c>
      <c r="AW101" s="10" t="inlineStr">
        <is>
          <t>Presupuesto propio verificado; personal y salarios ejecutados pendientes</t>
        </is>
      </c>
      <c r="AX101" s="14" t="n">
        <v>39</v>
      </c>
      <c r="AY101" s="14" t="inlineStr">
        <is>
          <t>2026</t>
        </is>
      </c>
      <c r="AZ101" s="14" t="inlineStr">
        <is>
          <t>personas presupuestadas 2026 sección 13.32 (budgeted, NO ocupación real)</t>
        </is>
      </c>
      <c r="BA101" s="14" t="inlineStr">
        <is>
          <t>https://www.juntadeandalucia.es/export/presup2026/estado/programas/estadoIII-a-5.pdf</t>
        </is>
      </c>
      <c r="BB101" s="14" t="inlineStr">
        <is>
          <t>Programa4.1.K:39 personas presupuestadas, cap1 29.027069M; total56.356937M, sección propia. NO ocupación.</t>
        </is>
      </c>
      <c r="BC101" s="10" t="inlineStr">
        <is>
          <t>Revisado: InstitutoSaludAndalucía: conocimiento y formación</t>
        </is>
      </c>
      <c r="BD101" s="10" t="inlineStr">
        <is>
          <t>Investigación, formación, asesoramiento y mejora sanitaria; no trámite general legislativo en art3.</t>
        </is>
      </c>
      <c r="BE101" s="10" t="inlineStr">
        <is>
          <t>No consentimiento favorable ni veto legislativo establecido en las cláusulas revisadas.</t>
        </is>
      </c>
      <c r="BF101" s="10" t="inlineStr">
        <is>
          <t>Revisión limitada a las atribuciones citadas: no descarta trámites sectoriales en otras normas.</t>
        </is>
      </c>
      <c r="BG101" s="10" t="inlineStr">
        <is>
          <t>Ley1/2024 art3</t>
        </is>
      </c>
      <c r="BH101" s="10" t="inlineStr">
        <is>
          <t>https://www.boe.es/buscar/act.php?id=BOE-A-2024-13825</t>
        </is>
      </c>
      <c r="BI101" s="12" t="n"/>
      <c r="BJ101" s="12" t="n"/>
      <c r="BK101" s="12" t="n"/>
      <c r="BL101" s="12" t="n"/>
      <c r="BM101" s="10" t="n"/>
      <c r="BN101" s="10" t="n"/>
      <c r="BO101" s="12" t="n"/>
      <c r="BP101" s="12" t="n"/>
      <c r="BQ101" s="12" t="n"/>
      <c r="BR101" s="12" t="n"/>
      <c r="BS101" s="12" t="n"/>
      <c r="BT101" s="12" t="n"/>
      <c r="BU101" s="12" t="n"/>
      <c r="BV101" s="27" t="inlineStr">
        <is>
          <t>No útil</t>
        </is>
      </c>
      <c r="BW101" s="27" t="inlineStr">
        <is>
          <t>Suprimir</t>
        </is>
      </c>
      <c r="BX101" s="27" t="inlineStr">
        <is>
          <t>Servicio público directo</t>
        </is>
      </c>
      <c r="BY101" s="27" t="inlineStr">
        <is>
          <t>Paralelo a AESAP: cada nivel actúa con sus propios fondos o competencias. 5 organismos sobre este tema entre el Estado y las CCAA (verificados).</t>
        </is>
      </c>
      <c r="BZ101" s="27" t="inlineStr">
        <is>
          <t>No</t>
        </is>
      </c>
      <c r="CA101" s="27" t="inlineStr">
        <is>
          <t>No acreditada</t>
        </is>
      </c>
      <c r="CB101" s="27" t="inlineStr">
        <is>
          <t>No ha arrancado: 0 € de gasto de personal en 2025 y a marzo de 2026. Suprimirla cuesta menos que ponerla en marcha.</t>
        </is>
      </c>
      <c r="CC101" s="27" t="inlineStr">
        <is>
          <t>Aplicando el criterio del P100: Costes del Estado 9 (aplicado a las CCAA)</t>
        </is>
      </c>
      <c r="CD101" s="27" t="inlineStr">
        <is>
          <t>Consejería de Sanidad de la comunidad autónoma</t>
        </is>
      </c>
      <c r="CE101" s="27" t="inlineStr">
        <is>
          <t>Agencias de salud pública</t>
        </is>
      </c>
      <c r="CF101" s="28" t="n">
        <v>5</v>
      </c>
      <c r="CG101" s="12" t="n"/>
      <c r="CH101" s="29">
        <f>IF(AND(ISNUMBER(BP101),ISNUMBER(AG101),AG101&gt;0),BP101*1000000/AG101,"")</f>
        <v/>
      </c>
      <c r="CI101" s="12" t="n"/>
      <c r="CJ101" s="12" t="n"/>
      <c r="CK101" s="12" t="n"/>
      <c r="CL101" s="12" t="n"/>
      <c r="CM101" s="12" t="n"/>
      <c r="CN101" s="12" t="n"/>
      <c r="CO101" s="12" t="n"/>
      <c r="CP101" s="12" t="n"/>
      <c r="CQ101" s="12" t="n"/>
      <c r="CR101" s="12" t="n"/>
      <c r="CS101" s="12" t="n"/>
    </row>
    <row r="102">
      <c r="A102" s="10" t="n">
        <v>101</v>
      </c>
      <c r="B102" s="10" t="inlineStr">
        <is>
          <t>Autonómico</t>
        </is>
      </c>
      <c r="C102" s="10" t="inlineStr">
        <is>
          <t>Andalucía</t>
        </is>
      </c>
      <c r="D102" s="10" t="inlineStr">
        <is>
          <t>Sánchez</t>
        </is>
      </c>
      <c r="E102" s="10" t="inlineStr">
        <is>
          <t>Agencia de Emergencias de Andalucía (antes ASGIE)</t>
        </is>
      </c>
      <c r="F102" s="10" t="inlineStr">
        <is>
          <t>Integración de operativos y funciones preexistentes</t>
        </is>
      </c>
      <c r="G102" s="10" t="inlineStr">
        <is>
          <t>2023-04-11</t>
        </is>
      </c>
      <c r="H102" s="10" t="inlineStr">
        <is>
          <t>Decreto-ley 2/2023; Decreto 270/2024; renombrada por Decreto-ley 5/2026</t>
        </is>
      </c>
      <c r="I102" s="10" t="inlineStr">
        <is>
          <t>Gestión integral de emergencias 112 y prevención/extinción de incendios forestales</t>
        </is>
      </c>
      <c r="J102" s="10" t="inlineStr">
        <is>
          <t>Juicio: capacidad ejecutiva operativa real, respaldada por norma 2026 que confirma inicio operativo y por crédito propio. No auditoría de resultados.</t>
        </is>
      </c>
      <c r="K102" s="11" t="n">
        <v>271.626</v>
      </c>
      <c r="L102" s="10" t="n">
        <v>2026</v>
      </c>
      <c r="M102" s="10" t="inlineStr">
        <is>
          <t>Crédito inicial aprobado</t>
        </is>
      </c>
      <c r="N102" s="10" t="inlineStr">
        <is>
          <t>2026, crédito aprobado</t>
        </is>
      </c>
      <c r="O102" s="10" t="inlineStr">
        <is>
          <t>Cifra propia verificada</t>
        </is>
      </c>
      <c r="P102" s="12" t="n">
        <v>271.626</v>
      </c>
      <c r="Q102" s="12" t="n"/>
      <c r="R102" s="10" t="inlineStr">
        <is>
          <t>Crédito propio inicial aprobado 2026: 271.626000 millones EUR (Ley 8/2025, p. 18, columna Gastos). No es ejecución ni solo coste administrativo.</t>
        </is>
      </c>
      <c r="S102" s="10" t="inlineStr">
        <is>
          <t>2026 presupuesto inicial; revisión 11/10/2026</t>
        </is>
      </c>
      <c r="T102" s="10" t="inlineStr">
        <is>
          <t>La norma 2026 confirma inicio operativo 1/01/2025 y cambio de nombre en 2026.</t>
        </is>
      </c>
      <c r="U102" s="10" t="inlineStr">
        <is>
          <t>Capacidad legal y eficacia práctica son distintas. Estado 2026 y plantilla ocupada no auditados salvo evidencia expresamente señalada. Fecha registral distinta de creación legal.</t>
        </is>
      </c>
      <c r="V102" s="10" t="inlineStr">
        <is>
          <t>No se ha identificado relación en esta revisión (no certifica ausencia)</t>
        </is>
      </c>
      <c r="W102" s="10" t="n"/>
      <c r="X102" s="10" t="inlineStr">
        <is>
          <t>Revisión cualitativa del mandato y estado; no auditoría exhaustiva de proyectos.</t>
        </is>
      </c>
      <c r="Y102" s="10" t="n"/>
      <c r="Z102" s="10" t="inlineStr">
        <is>
          <t>https://boe.es/buscar/doc.php?id=BOJA-b-2023-90144
https://www.boe.es/buscar/pdf/2026/BOE-A-2026-945-consolidado.pdf
https://www.juntadeandalucia.es/boja/2026/80/c01/1</t>
        </is>
      </c>
      <c r="AA102" s="12" t="n"/>
      <c r="AB102" s="10" t="n"/>
      <c r="AC102" s="10" t="n"/>
      <c r="AD102" s="10" t="n"/>
      <c r="AE102" s="13" t="inlineStr">
        <is>
          <t>https://files.instinct.com/q91pr53q4umo-entidades-publicas-poder-y-presupuesto</t>
        </is>
      </c>
      <c r="AF102" s="10" t="inlineStr">
        <is>
          <t>12/10/2026</t>
        </is>
      </c>
      <c r="AG102" s="10" t="n"/>
      <c r="AH102" s="10" t="n"/>
      <c r="AI102" s="10" t="inlineStr">
        <is>
          <t>Personas ocupadas; no confundir miembros del órgano con empleados</t>
        </is>
      </c>
      <c r="AJ102" s="10" t="inlineStr">
        <is>
          <t>Sin cifra individual verificada en esta revisión</t>
        </is>
      </c>
      <c r="AK102" s="10" t="n"/>
      <c r="AL102" s="12" t="n">
        <v>8.116847</v>
      </c>
      <c r="AM102" s="10" t="n">
        <v>2026</v>
      </c>
      <c r="AN102" s="10" t="inlineStr">
        <is>
          <t>Capítulo1 programa2.2.B, sección01.39 agencia. Solo este programa; NO total de personal de agencia</t>
        </is>
      </c>
      <c r="AO102" s="10" t="inlineStr">
        <is>
          <t>Crédito presupuestado: fuente primaria y tabla visual cotejadas; no ejecución</t>
        </is>
      </c>
      <c r="AP102" s="10" t="inlineStr">
        <is>
          <t>https://www.juntadeandalucia.es/export/presup2026/estado/programas/estadoIII-b-1.pdf</t>
        </is>
      </c>
      <c r="AQ102" s="12" t="n"/>
      <c r="AR102" s="10" t="n"/>
      <c r="AS102" s="10" t="n"/>
      <c r="AT102" s="10" t="n"/>
      <c r="AU102" s="10" t="n"/>
      <c r="AV102" s="10" t="inlineStr">
        <is>
          <t>Sin ejecución individual verificada</t>
        </is>
      </c>
      <c r="AW102" s="10" t="inlineStr">
        <is>
          <t>Presupuesto total propio verificado; personal presupuestado parcial y capítulo1 del programa pendientes de inspección visual; ocupación y ejecución pendientes</t>
        </is>
      </c>
      <c r="AX102" s="14" t="n">
        <v>136</v>
      </c>
      <c r="AY102" s="14" t="inlineStr">
        <is>
          <t>Presupuesto2026, programa2.2.B, sección01.39</t>
        </is>
      </c>
      <c r="AZ102" s="14" t="inlineStr">
        <is>
          <t>Personas presupuestadas del programa en sección agencia; NO plantilla ocupada ni total de agencia</t>
        </is>
      </c>
      <c r="BA102" s="14" t="inlineStr">
        <is>
          <t>https://www.juntadeandalucia.es/export/presup2026/estado/programas/estadoIII-b-1.pdf</t>
        </is>
      </c>
      <c r="BB102" s="14" t="inlineStr">
        <is>
          <t>MEDIOS: sección agencia136personas/8.116847M; otras secciones196personas/10.914428M. Ambas cifras son programa2.2.B. Total programa personal19.031275M NO imputar todo a agencia. Página impresa254, PDFp11.</t>
        </is>
      </c>
      <c r="BC102" s="10" t="inlineStr">
        <is>
          <t>Revisado: EmergenciasAndalucía planificación y mando</t>
        </is>
      </c>
      <c r="BD102" s="10" t="inlineStr">
        <is>
          <t>Statutoarts6-7: seguridad/emergencias y planes; no trámite legislativo general identificado allí. ComisiónProtecciónCivil/ConsejoFuego adscritos no equivalen automáticamente a facultad general de la agencia.</t>
        </is>
      </c>
      <c r="BE102" s="10" t="inlineStr">
        <is>
          <t>No veto parlamentario ni consentimiento favorable general establecido en las cláusulas revisadas.</t>
        </is>
      </c>
      <c r="BF102" s="10" t="inlineStr">
        <is>
          <t>Consulta de órganos adscritos exige sus propias normas; no veto general de la agencia acreditado.</t>
        </is>
      </c>
      <c r="BG102" s="10" t="inlineStr">
        <is>
          <t>Decreto270/2024 estatutoart6; DAcuarta decreto: órganos adscritos</t>
        </is>
      </c>
      <c r="BH102" s="10" t="inlineStr">
        <is>
          <t>https://www.juntadeandalucia.es/boja/2024/252/1</t>
        </is>
      </c>
      <c r="BI102" s="12" t="n"/>
      <c r="BJ102" s="12" t="n"/>
      <c r="BK102" s="12" t="n"/>
      <c r="BL102" s="12" t="n"/>
      <c r="BM102" s="10" t="n"/>
      <c r="BN102" s="10" t="inlineStr">
        <is>
          <t>Fuente textual candidata: https://www.juntadeandalucia.es/export/presup2026/estado/programas/estadoIII-b-1.pdf . Sin tabla visual recuperada; no se suman programas ni otras secciones a agencia.</t>
        </is>
      </c>
      <c r="BO102" s="12" t="n"/>
      <c r="BP102" s="12" t="n"/>
      <c r="BQ102" s="12" t="n"/>
      <c r="BR102" s="12" t="n"/>
      <c r="BS102" s="12" t="n"/>
      <c r="BT102" s="12" t="n"/>
      <c r="BU102" s="12" t="n"/>
      <c r="BV102" s="27" t="inlineStr">
        <is>
          <t>Útil</t>
        </is>
      </c>
      <c r="BW102" s="27" t="inlineStr">
        <is>
          <t>Mantener</t>
        </is>
      </c>
      <c r="BX102" s="27" t="inlineStr">
        <is>
          <t>Servicio público directo</t>
        </is>
      </c>
      <c r="BY102" s="27" t="inlineStr">
        <is>
          <t>Competencia autonómica que el Estado no presta en ese territorio; la duplicidad es de forma (agencia propia o dirección general). 9 organismos sobre este tema entre el Estado y las CCAA (verificados).</t>
        </is>
      </c>
      <c r="BZ102" s="27" t="inlineStr">
        <is>
          <t>No</t>
        </is>
      </c>
      <c r="CA102" s="27" t="inlineStr">
        <is>
          <t>Acreditada</t>
        </is>
      </c>
      <c r="CB102" s="27"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c r="CC102" s="27" t="inlineStr">
        <is>
          <t>Aplicando el criterio del P100: Servicio directo que el Estado no presta</t>
        </is>
      </c>
      <c r="CD102" s="12" t="n"/>
      <c r="CE102" s="27" t="inlineStr">
        <is>
          <t>Entes de emergencias 112</t>
        </is>
      </c>
      <c r="CF102" s="28" t="n">
        <v>9</v>
      </c>
      <c r="CG102" s="12" t="n"/>
      <c r="CH102" s="29">
        <f>IF(AND(ISNUMBER(BP102),ISNUMBER(AG102),AG102&gt;0),BP102*1000000/AG102,"")</f>
        <v/>
      </c>
      <c r="CI102" s="12" t="n"/>
      <c r="CJ102" s="12" t="n"/>
      <c r="CK102" s="12" t="n"/>
      <c r="CL102" s="12" t="n"/>
      <c r="CM102" s="12" t="n"/>
      <c r="CN102" s="12" t="n"/>
      <c r="CO102" s="12" t="n"/>
      <c r="CP102" s="12" t="n"/>
      <c r="CQ102" s="12" t="n"/>
      <c r="CR102" s="12" t="n"/>
      <c r="CS102" s="12" t="n"/>
    </row>
    <row r="103">
      <c r="A103" s="10" t="n">
        <v>102</v>
      </c>
      <c r="B103" s="10" t="inlineStr">
        <is>
          <t>Autonómico</t>
        </is>
      </c>
      <c r="C103" s="10" t="inlineStr">
        <is>
          <t>Cataluña</t>
        </is>
      </c>
      <c r="D103" s="10" t="inlineStr">
        <is>
          <t>Sánchez</t>
        </is>
      </c>
      <c r="E103" s="10" t="inlineStr">
        <is>
          <t>Agència de la Natura de Catalunya (ANC)</t>
        </is>
      </c>
      <c r="F103" s="10" t="inlineStr">
        <is>
          <t>Creación legal nueva</t>
        </is>
      </c>
      <c r="G103" s="10" t="inlineStr">
        <is>
          <t>2020-07-02</t>
        </is>
      </c>
      <c r="H103" s="10" t="inlineStr">
        <is>
          <t>Llei 7/2020, de 2 de julio</t>
        </is>
      </c>
      <c r="I103" s="10" t="inlineStr">
        <is>
          <t>Gestión unificada de espacios naturales, biodiversidad y política forestal</t>
        </is>
      </c>
      <c r="J103" s="10" t="inlineStr">
        <is>
          <t>Juicio: retraso de despliegue documentado en mayo 2026. No se afirma inactividad a octubre 2026 sin confirmación final.</t>
        </is>
      </c>
      <c r="K103" s="11" t="n"/>
      <c r="L103" s="10" t="n"/>
      <c r="M103" s="10" t="n"/>
      <c r="N103" s="10" t="n"/>
      <c r="O103" s="30" t="inlineStr">
        <is>
          <t>Sin presupuesto propio 2026: no figura en la ley de presupuestos (entidad no desplegada)</t>
        </is>
      </c>
      <c r="P103" s="12" t="n"/>
      <c r="Q103" s="12" t="n"/>
      <c r="R103" s="10" t="inlineStr">
        <is>
          <t>Sin cifra propia actual 2026 verificada; no significa cero. No atribuir presupuesto del departamento. Prensa cita100M en proyecto 2026; no aprobado individual verificado.</t>
        </is>
      </c>
      <c r="S103" s="10" t="inlineStr">
        <is>
          <t>2026 presupuesto inicial; revisión 11/10/2026</t>
        </is>
      </c>
      <c r="T103" s="10" t="inlineStr">
        <is>
          <t>Creada en ley2020. Prensa21/05/2026 indica falta de despliegue; constituciónOct 2026 no confirmada. Ausencia registral no se usa como prueba absoluta.</t>
        </is>
      </c>
      <c r="U103" s="10" t="inlineStr">
        <is>
          <t>Capacidad legal y eficacia práctica son distintas. Estado 2026 y plantilla ocupada no auditados salvo evidencia expresamente señalada. Fecha registral distinta de creación legal.</t>
        </is>
      </c>
      <c r="V103" s="10" t="inlineStr">
        <is>
          <t>No se ha identificado relación en esta revisión (no certifica ausencia)</t>
        </is>
      </c>
      <c r="W103" s="10" t="n"/>
      <c r="X103" s="10" t="inlineStr">
        <is>
          <t>Revisión cualitativa del mandato y estado; no auditoría exhaustiva de proyectos.</t>
        </is>
      </c>
      <c r="Y103" s="10" t="n"/>
      <c r="Z103" s="10" t="inlineStr">
        <is>
          <t>http://www.boe.es/buscar/doc.php?id=BOE-A-2020-7942
https://participa.gencat.cat/processes/DecretEstatutsANACAT
https://www.elperiodico.com/es/sociedad/20260521/presupuestos-2026-excluyen-agencia-natura-cataluna-130447830</t>
        </is>
      </c>
      <c r="AA103" s="12" t="n"/>
      <c r="AB103" s="10" t="n"/>
      <c r="AC103" s="10" t="n"/>
      <c r="AD103" s="10" t="n"/>
      <c r="AE103" s="13" t="inlineStr">
        <is>
          <t>https://files.instinct.com/q91pr53q4umo-entidades-publicas-poder-y-presupuesto</t>
        </is>
      </c>
      <c r="AF103" s="10" t="inlineStr">
        <is>
          <t>12/10/2026</t>
        </is>
      </c>
      <c r="AG103" s="10" t="n"/>
      <c r="AH103" s="10" t="n"/>
      <c r="AI103" s="10" t="inlineStr">
        <is>
          <t>Personas ocupadas; no confundir miembros del órgano con empleados</t>
        </is>
      </c>
      <c r="AJ103" s="10" t="inlineStr">
        <is>
          <t>Sin cifra individual verificada en esta revisión</t>
        </is>
      </c>
      <c r="AK103" s="10" t="n"/>
      <c r="AL103" s="12" t="n"/>
      <c r="AM103" s="10" t="n"/>
      <c r="AN103" s="10" t="n"/>
      <c r="AO103" s="10" t="inlineStr">
        <is>
          <t>Sin crédito de personal individual verificado</t>
        </is>
      </c>
      <c r="AP103" s="10" t="n"/>
      <c r="AQ103" s="12" t="n"/>
      <c r="AR103" s="10" t="n"/>
      <c r="AS103" s="10" t="n"/>
      <c r="AT103" s="10" t="n"/>
      <c r="AU103" s="10" t="n"/>
      <c r="AV103" s="10" t="inlineStr">
        <is>
          <t>Sin ejecución individual verificada</t>
        </is>
      </c>
      <c r="AW103" s="10" t="inlineStr">
        <is>
          <t>Sin importe individual verificado; vacío no significa cero</t>
        </is>
      </c>
      <c r="AX103" s="14" t="n"/>
      <c r="AY103" s="14" t="n"/>
      <c r="AZ103" s="14" t="n"/>
      <c r="BA103" s="14" t="n"/>
      <c r="BB103" s="14" t="n"/>
      <c r="BC103" s="10" t="inlineStr">
        <is>
          <t>Revisado: AgenciaNatura informes específicos</t>
        </is>
      </c>
      <c r="BD103" s="10" t="inlineStr">
        <is>
          <t>Preceptivo sobre planes/programas/proyectos/autorizaciones que afecten espacios protegidos, no ley general.</t>
        </is>
      </c>
      <c r="BE103" s="10" t="inlineStr">
        <is>
          <t>No se exige consentimiento favorable ni carácter vinculante del informe en la cláusula citada; no es veto.</t>
        </is>
      </c>
      <c r="BF103" s="10" t="inlineStr">
        <is>
          <t>Toma en consideración debe motivarse. Planes y autorizaciones, no veto parlamentario. Constituciónoperativa pendiente independiente.</t>
        </is>
      </c>
      <c r="BG103" s="10" t="inlineStr">
        <is>
          <t>Llei7/2020 art3w</t>
        </is>
      </c>
      <c r="BH103" s="10" t="inlineStr">
        <is>
          <t>http://www.boe.es/buscar/doc.php?id=BOE-A-2020-7942</t>
        </is>
      </c>
      <c r="BI103" s="12" t="n"/>
      <c r="BJ103" s="12" t="n"/>
      <c r="BK103" s="12" t="n"/>
      <c r="BL103" s="12" t="n"/>
      <c r="BM103" s="10" t="n"/>
      <c r="BN103" s="10" t="n"/>
      <c r="BO103" s="12" t="n"/>
      <c r="BP103" s="12" t="n"/>
      <c r="BQ103" s="12" t="n"/>
      <c r="BR103" s="12" t="n"/>
      <c r="BS103" s="12" t="n"/>
      <c r="BT103" s="12" t="n"/>
      <c r="BU103" s="12" t="n"/>
      <c r="BV103" s="27" t="inlineStr">
        <is>
          <t>Extinguida</t>
        </is>
      </c>
      <c r="BW103" s="27" t="inlineStr">
        <is>
          <t>Extinguida</t>
        </is>
      </c>
      <c r="BX103" s="27" t="inlineStr">
        <is>
          <t>Extinguida o no constituida</t>
        </is>
      </c>
      <c r="BY103" s="12" t="n"/>
      <c r="BZ103" s="27" t="inlineStr">
        <is>
          <t>No</t>
        </is>
      </c>
      <c r="CA103" s="27" t="inlineStr">
        <is>
          <t>No aplica (no vigente)</t>
        </is>
      </c>
      <c r="CB103" s="27" t="inlineStr">
        <is>
          <t>Creada por ley en 2020, sin desplegar y sin presupuesto en 2026.</t>
        </is>
      </c>
      <c r="CC103" s="12" t="n"/>
      <c r="CD103" s="12" t="n"/>
      <c r="CE103" s="27" t="inlineStr">
        <is>
          <t>Espacios naturales</t>
        </is>
      </c>
      <c r="CF103" s="12" t="n"/>
      <c r="CG103" s="12" t="n"/>
      <c r="CH103" s="29">
        <f>IF(AND(ISNUMBER(BP103),ISNUMBER(AG103),AG103&gt;0),BP103*1000000/AG103,"")</f>
        <v/>
      </c>
      <c r="CI103" s="12" t="n"/>
      <c r="CJ103" s="12" t="n"/>
      <c r="CK103" s="12" t="n"/>
      <c r="CL103" s="12" t="n"/>
      <c r="CM103" s="12" t="n"/>
      <c r="CN103" s="12" t="n"/>
      <c r="CO103" s="12" t="n"/>
      <c r="CP103" s="12" t="n"/>
      <c r="CQ103" s="12" t="n"/>
      <c r="CR103" s="12" t="n"/>
      <c r="CS103" s="12" t="n"/>
    </row>
    <row r="104">
      <c r="A104" s="10" t="n">
        <v>103</v>
      </c>
      <c r="B104" s="10" t="inlineStr">
        <is>
          <t>Autonómico</t>
        </is>
      </c>
      <c r="C104" s="10" t="inlineStr">
        <is>
          <t>Comunitat Valenciana</t>
        </is>
      </c>
      <c r="D104" s="10" t="inlineStr">
        <is>
          <t>Sánchez</t>
        </is>
      </c>
      <c r="E104" s="10" t="inlineStr">
        <is>
          <t>Agencia Valenciana de Protección del Territorio (AVPT)</t>
        </is>
      </c>
      <c r="F104" s="10" t="inlineStr">
        <is>
          <t>Creación nueva</t>
        </is>
      </c>
      <c r="G104" s="10" t="inlineStr">
        <is>
          <t>2019-02-05</t>
        </is>
      </c>
      <c r="H104" s="10" t="inlineStr">
        <is>
          <t>Ley 1/2019, de 5 de febrero (modifica TRLOTUP Ley 5/2014 e introduce su regulación); Ley 9/2019, de 23 de diciembre (la convierte en organismo autónomo)</t>
        </is>
      </c>
      <c r="I104" s="10" t="inlineStr">
        <is>
          <t>Disciplina urbanística: potestades sancionadoras sobre infracciones graves y muy graves del suelo</t>
        </is>
      </c>
      <c r="J104" s="10" t="inlineStr">
        <is>
          <t>Juicio de capacidad legal: Disciplina urbanística: potestades sancionadoras sobre infracciones graves y muy graves del suelo. Las funciones legales no acreditan por sí solas actividad, eficacia o dotación efectiva.</t>
        </is>
      </c>
      <c r="K104" s="11" t="n"/>
      <c r="L104" s="10" t="n"/>
      <c r="M104" s="10" t="n"/>
      <c r="N104" s="10" t="n"/>
      <c r="O104" s="10" t="inlineStr">
        <is>
          <t>Sin cifra propia actual verificada</t>
        </is>
      </c>
      <c r="P104" s="12" t="n"/>
      <c r="Q104" s="12" t="n"/>
      <c r="R104" s="10" t="inlineStr">
        <is>
          <t>Sin cifra propia actual 2026 verificada; no significa cero. No atribuir presupuesto del departamento.</t>
        </is>
      </c>
      <c r="S104" s="10" t="inlineStr">
        <is>
          <t>2026 presupuesto inicial; revisión 11/10/2026</t>
        </is>
      </c>
      <c r="T104" s="10" t="inlineStr">
        <is>
          <t>Creación o transformación legal verificada. Estado operativo a 11/10/2026 no confirmado de forma independiente en esta revisión; inscripción registral comunicada por el lote no sustituye la comprobación de actividad.</t>
        </is>
      </c>
      <c r="U104" s="10" t="inlineStr">
        <is>
          <t>Capacidad legal y eficacia práctica son distintas. Estado 2026 y plantilla ocupada no auditados salvo evidencia expresamente señalada. Fecha registral distinta de creación legal.</t>
        </is>
      </c>
      <c r="V104" s="10" t="inlineStr">
        <is>
          <t>No se ha identificado relación en esta revisión (no certifica ausencia)</t>
        </is>
      </c>
      <c r="W104" s="10" t="n"/>
      <c r="X104" s="10" t="inlineStr">
        <is>
          <t>Revisión cualitativa del mandato y estado; no auditoría exhaustiva de proyectos.</t>
        </is>
      </c>
      <c r="Y104" s="10" t="n"/>
      <c r="Z104" s="10" t="inlineStr">
        <is>
          <t>https://www.boe.es/boe/dias/2019/02/28/pdfs/BOE-A-2019-2784.pdf
https://www.boe.es/diario_boe/txt.php?id=BOE-A-2020-1010</t>
        </is>
      </c>
      <c r="AA104" s="12" t="n"/>
      <c r="AB104" s="10" t="n"/>
      <c r="AC104" s="10" t="n"/>
      <c r="AD104" s="10" t="n"/>
      <c r="AE104" s="13" t="inlineStr">
        <is>
          <t>https://files.instinct.com/q91pr53q4umo-entidades-publicas-poder-y-presupuesto</t>
        </is>
      </c>
      <c r="AF104" s="10" t="inlineStr">
        <is>
          <t>12/10/2026</t>
        </is>
      </c>
      <c r="AG104" s="10" t="n"/>
      <c r="AH104" s="10" t="n"/>
      <c r="AI104" s="10" t="inlineStr">
        <is>
          <t>Personas ocupadas; no confundir miembros del órgano con empleados</t>
        </is>
      </c>
      <c r="AJ104" s="10" t="inlineStr">
        <is>
          <t>Sin cifra individual verificada en esta revisión</t>
        </is>
      </c>
      <c r="AK104" s="10" t="n"/>
      <c r="AL104" s="12" t="n"/>
      <c r="AM104" s="10" t="n"/>
      <c r="AN104" s="10" t="n"/>
      <c r="AO104" s="10" t="inlineStr">
        <is>
          <t>Sin crédito de personal individual verificado</t>
        </is>
      </c>
      <c r="AP104" s="10" t="n"/>
      <c r="AQ104" s="12" t="n"/>
      <c r="AR104" s="10" t="n"/>
      <c r="AS104" s="10" t="n"/>
      <c r="AT104" s="10" t="n"/>
      <c r="AU104" s="10" t="n"/>
      <c r="AV104" s="10" t="inlineStr">
        <is>
          <t>Sin ejecución individual verificada</t>
        </is>
      </c>
      <c r="AW104" s="10" t="inlineStr">
        <is>
          <t>Sin importe individual verificado; vacío no significa cero</t>
        </is>
      </c>
      <c r="AX104" s="14" t="n"/>
      <c r="AY104" s="14" t="n"/>
      <c r="AZ104" s="14" t="n"/>
      <c r="BA104" s="14" t="n"/>
      <c r="BB104" s="14" t="n"/>
      <c r="BC104" s="10" t="inlineStr">
        <is>
          <t>Revisado: AVPT propuestas y disciplinaurbanística</t>
        </is>
      </c>
      <c r="BD104" s="10" t="inlineStr">
        <is>
          <t>Inspecciona/sanciona; propone modificar/adoptar normas a consejería y asesora municipios. No informe previo general para leyes.</t>
        </is>
      </c>
      <c r="BE104" s="10" t="inlineStr">
        <is>
          <t>No veto parlamentario ni consentimiento favorable general establecido en las cláusulas revisadas.</t>
        </is>
      </c>
      <c r="BF104" s="10" t="inlineStr">
        <is>
          <t>Textoestatuto leído en repositoriosecundario; referencia oficial corroborada portalAVPT/Xunta. Impugnarlicencias no equivale a vetoleyes.</t>
        </is>
      </c>
      <c r="BG104" s="10" t="inlineStr">
        <is>
          <t>Decreto52/2021 estatutoart4i</t>
        </is>
      </c>
      <c r="BH104" s="10" t="inlineStr">
        <is>
          <t>https://www.iberley.es/legislacion/decreto-52-2021-9-abril-consell-aprobacion-estatutos-agencia-valenciana-proteccio-territori-2021-4212-26848066</t>
        </is>
      </c>
      <c r="BI104" s="12" t="n"/>
      <c r="BJ104" s="12" t="n"/>
      <c r="BK104" s="12" t="n"/>
      <c r="BL104" s="12" t="n"/>
      <c r="BM104" s="10" t="n"/>
      <c r="BN104" s="10" t="n"/>
      <c r="BO104" s="12" t="n"/>
      <c r="BP104" s="12" t="n"/>
      <c r="BQ104" s="12" t="n"/>
      <c r="BR104" s="12" t="n"/>
      <c r="BS104" s="12" t="n"/>
      <c r="BT104" s="12" t="n"/>
      <c r="BU104" s="12" t="n"/>
      <c r="BV104" s="27" t="inlineStr">
        <is>
          <t>Útil</t>
        </is>
      </c>
      <c r="BW104" s="27" t="inlineStr">
        <is>
          <t>Mantener</t>
        </is>
      </c>
      <c r="BX104" s="27" t="inlineStr">
        <is>
          <t>Regulación o inspección de terceros</t>
        </is>
      </c>
      <c r="BY104" s="12" t="n"/>
      <c r="BZ104" s="27" t="inlineStr">
        <is>
          <t>No</t>
        </is>
      </c>
      <c r="CA104" s="27" t="inlineStr">
        <is>
          <t>Parcial</t>
        </is>
      </c>
      <c r="CB104" s="27" t="inlineStr">
        <is>
          <t>Persigue las infracciones urbanísticas graves.</t>
        </is>
      </c>
      <c r="CC104" s="27" t="inlineStr">
        <is>
          <t>Aplicando el criterio del P100: Función técnica y sancionadora</t>
        </is>
      </c>
      <c r="CD104" s="12" t="n"/>
      <c r="CE104" s="27" t="inlineStr">
        <is>
          <t>Disciplina urbanística</t>
        </is>
      </c>
      <c r="CF104" s="12" t="n"/>
      <c r="CG104" s="12" t="n"/>
      <c r="CH104" s="29">
        <f>IF(AND(ISNUMBER(BP104),ISNUMBER(AG104),AG104&gt;0),BP104*1000000/AG104,"")</f>
        <v/>
      </c>
      <c r="CI104" s="12" t="n"/>
      <c r="CJ104" s="12" t="n"/>
      <c r="CK104" s="12" t="n"/>
      <c r="CL104" s="12" t="n"/>
      <c r="CM104" s="12" t="n"/>
      <c r="CN104" s="12" t="n"/>
      <c r="CO104" s="12" t="n"/>
      <c r="CP104" s="12" t="n"/>
      <c r="CQ104" s="12" t="n"/>
      <c r="CR104" s="12" t="n"/>
      <c r="CS104" s="12" t="n"/>
    </row>
    <row r="105">
      <c r="A105" s="10" t="n">
        <v>104</v>
      </c>
      <c r="B105" s="10" t="inlineStr">
        <is>
          <t>Autonómico</t>
        </is>
      </c>
      <c r="C105" s="10" t="inlineStr">
        <is>
          <t>Comunitat Valenciana</t>
        </is>
      </c>
      <c r="D105" s="10" t="inlineStr">
        <is>
          <t>Rajoy</t>
        </is>
      </c>
      <c r="E105" s="10" t="inlineStr">
        <is>
          <t>Agència Valenciana de Seguretat Ferroviària (AVSF)</t>
        </is>
      </c>
      <c r="F105" s="10" t="inlineStr">
        <is>
          <t>Creación nueva</t>
        </is>
      </c>
      <c r="G105" s="10" t="inlineStr">
        <is>
          <t>2018-03-26</t>
        </is>
      </c>
      <c r="H105" s="10" t="inlineStr">
        <is>
          <t>Ley 7/2018, de 26 de marzo, de Seguridad Ferroviaria</t>
        </is>
      </c>
      <c r="I105" s="10" t="inlineStr">
        <is>
          <t>Seguridad ferroviaria en la CV (ámbito FGV)</t>
        </is>
      </c>
      <c r="J105" s="10" t="inlineStr">
        <is>
          <t>Juicio de capacidad legal: Seguridad ferroviaria en la CV (ámbito FGV). Las funciones legales no acreditan por sí solas actividad, eficacia o dotación efectiva.</t>
        </is>
      </c>
      <c r="K105" s="11" t="n"/>
      <c r="L105" s="10" t="n"/>
      <c r="M105" s="10" t="n"/>
      <c r="N105" s="10" t="n"/>
      <c r="O105" s="10" t="inlineStr">
        <is>
          <t>Sin cifra propia actual verificada</t>
        </is>
      </c>
      <c r="P105" s="12" t="n"/>
      <c r="Q105" s="12" t="n"/>
      <c r="R105" s="10" t="inlineStr">
        <is>
          <t>Sin cifra propia actual 2026 verificada; no significa cero. No atribuir presupuesto del departamento.</t>
        </is>
      </c>
      <c r="S105" s="10" t="inlineStr">
        <is>
          <t>2026 presupuesto inicial; revisión 11/10/2026</t>
        </is>
      </c>
      <c r="T105" s="10" t="inlineStr">
        <is>
          <t>Creación o transformación legal verificada. Estado operativo a 11/10/2026 no confirmado de forma independiente en esta revisión; inscripción registral comunicada por el lote no sustituye la comprobación de actividad.</t>
        </is>
      </c>
      <c r="U105" s="10" t="inlineStr">
        <is>
          <t>Capacidad legal y eficacia práctica son distintas. Estado 2026 y plantilla ocupada no auditados salvo evidencia expresamente señalada. Fecha registral distinta de creación legal.</t>
        </is>
      </c>
      <c r="V105" s="10" t="inlineStr">
        <is>
          <t>No se ha identificado relación en esta revisión (no certifica ausencia)</t>
        </is>
      </c>
      <c r="W105" s="10" t="n"/>
      <c r="X105" s="10" t="inlineStr">
        <is>
          <t>Revisión cualitativa del mandato y estado; no auditoría exhaustiva de proyectos.</t>
        </is>
      </c>
      <c r="Y105" s="10" t="n"/>
      <c r="Z105" s="10" t="inlineStr">
        <is>
          <t>https://www.boe.es/eli/es-vc/l/2018/03/26/7/con</t>
        </is>
      </c>
      <c r="AA105" s="12" t="n"/>
      <c r="AB105" s="10" t="n"/>
      <c r="AC105" s="10" t="n"/>
      <c r="AD105" s="10" t="n"/>
      <c r="AE105" s="13" t="inlineStr">
        <is>
          <t>https://files.instinct.com/q91pr53q4umo-entidades-publicas-poder-y-presupuesto</t>
        </is>
      </c>
      <c r="AF105" s="10" t="inlineStr">
        <is>
          <t>12/10/2026</t>
        </is>
      </c>
      <c r="AG105" s="10" t="n"/>
      <c r="AH105" s="10" t="n"/>
      <c r="AI105" s="10" t="inlineStr">
        <is>
          <t>Personas ocupadas; no confundir miembros del órgano con empleados</t>
        </is>
      </c>
      <c r="AJ105" s="10" t="inlineStr">
        <is>
          <t>Sin cifra individual verificada en esta revisión</t>
        </is>
      </c>
      <c r="AK105" s="10" t="n"/>
      <c r="AL105" s="12" t="n"/>
      <c r="AM105" s="10" t="n"/>
      <c r="AN105" s="10" t="n"/>
      <c r="AO105" s="10" t="inlineStr">
        <is>
          <t>Sin crédito de personal individual verificado</t>
        </is>
      </c>
      <c r="AP105" s="10" t="n"/>
      <c r="AQ105" s="12" t="n"/>
      <c r="AR105" s="10" t="n"/>
      <c r="AS105" s="10" t="n"/>
      <c r="AT105" s="10" t="n"/>
      <c r="AU105" s="10" t="n"/>
      <c r="AV105" s="10" t="inlineStr">
        <is>
          <t>Sin ejecución individual verificada</t>
        </is>
      </c>
      <c r="AW105" s="10" t="inlineStr">
        <is>
          <t>Sin importe individual verificado; vacío no significa cero</t>
        </is>
      </c>
      <c r="AX105" s="14" t="n"/>
      <c r="AY105" s="14" t="n"/>
      <c r="AZ105" s="14" t="n"/>
      <c r="BA105" s="14" t="n"/>
      <c r="BB105" s="14" t="n"/>
      <c r="BC105" s="10" t="inlineStr">
        <is>
          <t>Revisado: AVSF informe FAVORABLE requerido, alcance estrecho</t>
        </is>
      </c>
      <c r="BD105" s="10" t="inlineStr">
        <is>
          <t>Sí: orden normas pasosnivel (art28) y decreto requisitosmaterialrodante(art34); urbanizacióncolindante(art25.3).</t>
        </is>
      </c>
      <c r="BE105" s="10" t="inlineStr">
        <is>
          <t>SÍ requiere informe favorable para esas órdenes/decretos y proyectos; NO permiso general para aprobarley.</t>
        </is>
      </c>
      <c r="BF105" s="10" t="inlineStr">
        <is>
          <t>Puede condicionar esas normasreglamentarias/proyectos. No veto parlamentario ni todaslasleyes.</t>
        </is>
      </c>
      <c r="BG105" s="10" t="inlineStr">
        <is>
          <t>Ley7/2018 arts25.3,28.1-2,34</t>
        </is>
      </c>
      <c r="BH105" s="10" t="inlineStr">
        <is>
          <t>https://www.boe.es/eli/es-vc/l/2018/03/26/7/con</t>
        </is>
      </c>
      <c r="BI105" s="12" t="n"/>
      <c r="BJ105" s="12" t="n"/>
      <c r="BK105" s="12" t="n"/>
      <c r="BL105" s="12" t="n"/>
      <c r="BM105" s="10" t="n"/>
      <c r="BN105" s="10" t="n"/>
      <c r="BO105" s="12" t="n"/>
      <c r="BP105" s="12" t="n"/>
      <c r="BQ105" s="12" t="n"/>
      <c r="BR105" s="12" t="n"/>
      <c r="BS105" s="12" t="n"/>
      <c r="BT105" s="12" t="n"/>
      <c r="BU105" s="12" t="n"/>
      <c r="BV105" s="27" t="inlineStr">
        <is>
          <t>No útil</t>
        </is>
      </c>
      <c r="BW105" s="27" t="inlineStr">
        <is>
          <t>Integrar</t>
        </is>
      </c>
      <c r="BX105" s="27" t="inlineStr">
        <is>
          <t>Regulación o inspección de terceros</t>
        </is>
      </c>
      <c r="BY105" s="27" t="inlineStr">
        <is>
          <t>Supervisa una red que AESF no cubre por ley (red autonómica); no es duplicado. 2 organismos sobre este tema entre el Estado y las CCAA (verificados).</t>
        </is>
      </c>
      <c r="BZ105" s="27" t="inlineStr">
        <is>
          <t>No</t>
        </is>
      </c>
      <c r="CA105" s="27" t="inlineStr">
        <is>
          <t>Parcial</t>
        </is>
      </c>
      <c r="CB105" s="27" t="inlineStr">
        <is>
          <t>Supervisa la seguridad de la red de FGV, que hoy la AESF no cubre por ley.</t>
        </is>
      </c>
      <c r="CC105" s="27" t="inlineStr">
        <is>
          <t>Aplicando el criterio del P100: Criterio Extramuros del 12/10/2026 (exige cambiar la ley ferroviaria)</t>
        </is>
      </c>
      <c r="CD105" s="27" t="inlineStr">
        <is>
          <t>Agencia Estatal de Seguridad Ferroviaria (AESF)</t>
        </is>
      </c>
      <c r="CE105" s="27" t="inlineStr">
        <is>
          <t>Seguridad ferroviaria</t>
        </is>
      </c>
      <c r="CF105" s="28" t="n">
        <v>2</v>
      </c>
      <c r="CG105" s="12" t="n"/>
      <c r="CH105" s="29">
        <f>IF(AND(ISNUMBER(BP105),ISNUMBER(AG105),AG105&gt;0),BP105*1000000/AG105,"")</f>
        <v/>
      </c>
      <c r="CI105" s="12" t="n"/>
      <c r="CJ105" s="12" t="n"/>
      <c r="CK105" s="12" t="n"/>
      <c r="CL105" s="12" t="n"/>
      <c r="CM105" s="12" t="n"/>
      <c r="CN105" s="12" t="n"/>
      <c r="CO105" s="12" t="n"/>
      <c r="CP105" s="12" t="n"/>
      <c r="CQ105" s="12" t="n"/>
      <c r="CR105" s="12" t="n"/>
      <c r="CS105" s="12" t="n"/>
    </row>
    <row r="106">
      <c r="A106" s="10" t="n">
        <v>105</v>
      </c>
      <c r="B106" s="10" t="inlineStr">
        <is>
          <t>Autonómico</t>
        </is>
      </c>
      <c r="C106" s="10" t="inlineStr">
        <is>
          <t>Comunitat Valenciana</t>
        </is>
      </c>
      <c r="D106" s="10" t="inlineStr">
        <is>
          <t>Sánchez</t>
        </is>
      </c>
      <c r="E106" s="10" t="inlineStr">
        <is>
          <t>Agència Valenciana de Residus i Economia Circular</t>
        </is>
      </c>
      <c r="F106" s="10" t="inlineStr">
        <is>
          <t>Creación nueva</t>
        </is>
      </c>
      <c r="G106" s="10" t="inlineStr">
        <is>
          <t>2022-11-29</t>
        </is>
      </c>
      <c r="H106" s="10" t="inlineStr">
        <is>
          <t>Ley 5/2022, de 29 de noviembre, de residuos y suelos contaminados para el fomento de la economía circular en la CV</t>
        </is>
      </c>
      <c r="I106" s="10" t="inlineStr">
        <is>
          <t>Gestión de residuos y economía circular</t>
        </is>
      </c>
      <c r="J106" s="10" t="inlineStr">
        <is>
          <t>Juicio de capacidad legal: Gestión de residuos y economía circular. Las funciones legales no acreditan por sí solas actividad, eficacia o dotación efectiva.</t>
        </is>
      </c>
      <c r="K106" s="11" t="n"/>
      <c r="L106" s="10" t="n"/>
      <c r="M106" s="10" t="n"/>
      <c r="N106" s="10" t="n"/>
      <c r="O106" s="10" t="inlineStr">
        <is>
          <t>Sin cifra propia actual verificada</t>
        </is>
      </c>
      <c r="P106" s="12" t="n"/>
      <c r="Q106" s="12" t="n"/>
      <c r="R106" s="10" t="inlineStr">
        <is>
          <t>Sin cifra propia actual 2026 verificada; no significa cero. No atribuir presupuesto del departamento.</t>
        </is>
      </c>
      <c r="S106" s="10" t="inlineStr">
        <is>
          <t>2026 presupuesto inicial; revisión 11/10/2026</t>
        </is>
      </c>
      <c r="T106" s="10" t="inlineStr">
        <is>
          <t>Creación o transformación legal verificada. Estado operativo a 11/10/2026 no confirmado de forma independiente en esta revisión; inscripción registral comunicada por el lote no sustituye la comprobación de actividad.</t>
        </is>
      </c>
      <c r="U106" s="10" t="inlineStr">
        <is>
          <t>Capacidad legal y eficacia práctica son distintas. Estado 2026 y plantilla ocupada no auditados salvo evidencia expresamente señalada. Fecha registral distinta de creación legal.</t>
        </is>
      </c>
      <c r="V106" s="10" t="inlineStr">
        <is>
          <t>No se ha identificado relación en esta revisión (no certifica ausencia)</t>
        </is>
      </c>
      <c r="W106" s="10" t="n"/>
      <c r="X106" s="10" t="inlineStr">
        <is>
          <t>Revisión cualitativa del mandato y estado; no auditoría exhaustiva de proyectos.</t>
        </is>
      </c>
      <c r="Y106" s="10" t="n"/>
      <c r="Z106" s="10" t="inlineStr">
        <is>
          <t>https://www.boe.es/eli/es-vc/l/2022/11/29/5/con</t>
        </is>
      </c>
      <c r="AA106" s="12" t="n"/>
      <c r="AB106" s="10" t="n"/>
      <c r="AC106" s="10" t="n"/>
      <c r="AD106" s="10" t="n"/>
      <c r="AE106" s="13" t="inlineStr">
        <is>
          <t>https://files.instinct.com/q91pr53q4umo-entidades-publicas-poder-y-presupuesto</t>
        </is>
      </c>
      <c r="AF106" s="10" t="inlineStr">
        <is>
          <t>12/10/2026</t>
        </is>
      </c>
      <c r="AG106" s="10" t="n"/>
      <c r="AH106" s="10" t="n"/>
      <c r="AI106" s="10" t="inlineStr">
        <is>
          <t>Personas ocupadas; no confundir miembros del órgano con empleados</t>
        </is>
      </c>
      <c r="AJ106" s="10" t="inlineStr">
        <is>
          <t>Sin cifra individual verificada en esta revisión</t>
        </is>
      </c>
      <c r="AK106" s="10" t="n"/>
      <c r="AL106" s="12" t="n"/>
      <c r="AM106" s="10" t="n"/>
      <c r="AN106" s="10" t="n"/>
      <c r="AO106" s="10" t="inlineStr">
        <is>
          <t>Sin crédito de personal individual verificado</t>
        </is>
      </c>
      <c r="AP106" s="10" t="n"/>
      <c r="AQ106" s="12" t="n"/>
      <c r="AR106" s="10" t="n"/>
      <c r="AS106" s="10" t="n"/>
      <c r="AT106" s="10" t="n"/>
      <c r="AU106" s="10" t="n"/>
      <c r="AV106" s="10" t="inlineStr">
        <is>
          <t>Sin ejecución individual verificada</t>
        </is>
      </c>
      <c r="AW106" s="10" t="inlineStr">
        <is>
          <t>Sin importe individual verificado; vacío no significa cero</t>
        </is>
      </c>
      <c r="AX106" s="14" t="n"/>
      <c r="AY106" s="14" t="n"/>
      <c r="AZ106" s="14" t="n"/>
      <c r="BA106" s="14" t="n"/>
      <c r="BB106" s="14" t="n"/>
      <c r="BC106" s="10" t="inlineStr">
        <is>
          <t>Revisado: ResiduosValencia informes previos no vinculantes</t>
        </is>
      </c>
      <c r="BD106" s="10" t="inlineStr">
        <is>
          <t>ConsejoParticipación integrado agencia informa previamente disposicionesgenerales residuos; sin carácter vinculante.</t>
        </is>
      </c>
      <c r="BE106" s="10" t="inlineStr">
        <is>
          <t>Normativa: expresamente no vinculante. Art11.3 informe vinculante específico tratamientoindustrial en origen, no ley.</t>
        </is>
      </c>
      <c r="BF106" s="10" t="inlineStr">
        <is>
          <t>No veto parlamentario. Mandato/efectivaconstitución separados; no atribuir operatividad sin verificar.</t>
        </is>
      </c>
      <c r="BG106" s="10" t="inlineStr">
        <is>
          <t>Ley5/2022 arts11.3,12.1f,17.4c,17.5</t>
        </is>
      </c>
      <c r="BH106" s="10" t="inlineStr">
        <is>
          <t>https://www.boe.es/eli/es-vc/l/2022/11/29/5/con</t>
        </is>
      </c>
      <c r="BI106" s="12" t="n"/>
      <c r="BJ106" s="12" t="n"/>
      <c r="BK106" s="12" t="n"/>
      <c r="BL106" s="12" t="n"/>
      <c r="BM106" s="10" t="n"/>
      <c r="BN106" s="10" t="n"/>
      <c r="BO106" s="12" t="n"/>
      <c r="BP106" s="12" t="n"/>
      <c r="BQ106" s="12" t="n"/>
      <c r="BR106" s="12" t="n"/>
      <c r="BS106" s="12" t="n"/>
      <c r="BT106" s="12" t="n"/>
      <c r="BU106" s="12" t="n"/>
      <c r="BV106" s="27" t="inlineStr">
        <is>
          <t>Extinguida</t>
        </is>
      </c>
      <c r="BW106" s="27" t="inlineStr">
        <is>
          <t>Extinguida</t>
        </is>
      </c>
      <c r="BX106" s="27" t="inlineStr">
        <is>
          <t>Extinguida o no constituida</t>
        </is>
      </c>
      <c r="BY106" s="12" t="n"/>
      <c r="BZ106" s="27" t="inlineStr">
        <is>
          <t>No</t>
        </is>
      </c>
      <c r="CA106" s="27" t="inlineStr">
        <is>
          <t>No aplica (no vigente)</t>
        </is>
      </c>
      <c r="CB106" s="27" t="inlineStr">
        <is>
          <t>Prevista en Ley 5/2022; sin presupuesto en 2026 ni constitución acreditada.</t>
        </is>
      </c>
      <c r="CC106" s="12" t="n"/>
      <c r="CD106" s="12" t="n"/>
      <c r="CE106" s="27" t="inlineStr">
        <is>
          <t>Residuos</t>
        </is>
      </c>
      <c r="CF106" s="12" t="n"/>
      <c r="CG106" s="12" t="n"/>
      <c r="CH106" s="29">
        <f>IF(AND(ISNUMBER(BP106),ISNUMBER(AG106),AG106&gt;0),BP106*1000000/AG106,"")</f>
        <v/>
      </c>
      <c r="CI106" s="12" t="n"/>
      <c r="CJ106" s="12" t="n"/>
      <c r="CK106" s="12" t="n"/>
      <c r="CL106" s="12" t="n"/>
      <c r="CM106" s="12" t="n"/>
      <c r="CN106" s="12" t="n"/>
      <c r="CO106" s="12" t="n"/>
      <c r="CP106" s="12" t="n"/>
      <c r="CQ106" s="12" t="n"/>
      <c r="CR106" s="12" t="n"/>
      <c r="CS106" s="12" t="n"/>
    </row>
    <row r="107">
      <c r="A107" s="10" t="n">
        <v>106</v>
      </c>
      <c r="B107" s="10" t="inlineStr">
        <is>
          <t>Autonómico</t>
        </is>
      </c>
      <c r="C107" s="10" t="inlineStr">
        <is>
          <t>Comunitat Valenciana</t>
        </is>
      </c>
      <c r="D107" s="10" t="inlineStr">
        <is>
          <t>Sánchez</t>
        </is>
      </c>
      <c r="E107" s="10" t="inlineStr">
        <is>
          <t>Corporación Audiovisual de la Comunitat Valenciana, S.A.</t>
        </is>
      </c>
      <c r="F107" s="10" t="inlineStr">
        <is>
          <t>Creación nueva (sociedad pública audiovisual)</t>
        </is>
      </c>
      <c r="G107" s="10" t="inlineStr">
        <is>
          <t>2024-06-27</t>
        </is>
      </c>
      <c r="H107" s="10" t="inlineStr">
        <is>
          <t>Ley 2/2024, de 27 de junio</t>
        </is>
      </c>
      <c r="I107" s="10" t="inlineStr">
        <is>
          <t>Producción y gestión audiovisual pública</t>
        </is>
      </c>
      <c r="J107" s="10" t="inlineStr">
        <is>
          <t>Juicio de capacidad legal: Producción y gestión audiovisual pública. Las funciones legales no acreditan por sí solas actividad, eficacia o dotación efectiva.</t>
        </is>
      </c>
      <c r="K107" s="11" t="n"/>
      <c r="L107" s="10" t="n"/>
      <c r="M107" s="10" t="n"/>
      <c r="N107" s="10" t="n"/>
      <c r="O107" s="10" t="inlineStr">
        <is>
          <t>Sin cifra propia actual verificada</t>
        </is>
      </c>
      <c r="P107" s="12" t="n"/>
      <c r="Q107" s="12" t="n"/>
      <c r="R107" s="10" t="inlineStr">
        <is>
          <t>Sin cifra propia actual 2026 verificada; no significa cero. No atribuir presupuesto del departamento.</t>
        </is>
      </c>
      <c r="S107" s="10" t="inlineStr">
        <is>
          <t>2026 presupuesto inicial; revisión 11/10/2026</t>
        </is>
      </c>
      <c r="T107" s="10" t="inlineStr">
        <is>
          <t>Creación o transformación legal verificada. Estado operativo a 11/10/2026 no confirmado de forma independiente en esta revisión; inscripción registral comunicada por el lote no sustituye la comprobación de actividad.</t>
        </is>
      </c>
      <c r="U107" s="10" t="inlineStr">
        <is>
          <t>Capacidad legal y eficacia práctica son distintas. Estado 2026 y plantilla ocupada no auditados salvo evidencia expresamente señalada. Fecha registral distinta de creación legal.</t>
        </is>
      </c>
      <c r="V107" s="10" t="inlineStr">
        <is>
          <t>No se ha identificado relación en esta revisión (no certifica ausencia)</t>
        </is>
      </c>
      <c r="W107" s="10" t="n"/>
      <c r="X107" s="10" t="inlineStr">
        <is>
          <t>Revisión cualitativa del mandato y estado; no auditoría exhaustiva de proyectos.</t>
        </is>
      </c>
      <c r="Y107" s="10" t="n"/>
      <c r="Z107" s="10" t="inlineStr">
        <is>
          <t>https://www.boe.es/eli/es-vc/l/2024/06/27/2</t>
        </is>
      </c>
      <c r="AA107" s="12" t="n"/>
      <c r="AB107" s="10" t="n"/>
      <c r="AC107" s="10" t="n"/>
      <c r="AD107" s="10" t="n"/>
      <c r="AE107" s="13" t="inlineStr">
        <is>
          <t>https://files.instinct.com/q91pr53q4umo-entidades-publicas-poder-y-presupuesto</t>
        </is>
      </c>
      <c r="AF107" s="10" t="inlineStr">
        <is>
          <t>12/10/2026</t>
        </is>
      </c>
      <c r="AG107" s="10" t="n"/>
      <c r="AH107" s="10" t="n"/>
      <c r="AI107" s="10" t="inlineStr">
        <is>
          <t>Personas ocupadas; no confundir miembros del órgano con empleados</t>
        </is>
      </c>
      <c r="AJ107" s="10" t="inlineStr">
        <is>
          <t>Sin cifra individual verificada en esta revisión</t>
        </is>
      </c>
      <c r="AK107" s="10" t="n"/>
      <c r="AL107" s="12" t="n"/>
      <c r="AM107" s="10" t="n"/>
      <c r="AN107" s="10" t="n"/>
      <c r="AO107" s="10" t="inlineStr">
        <is>
          <t>Sin crédito de personal individual verificado</t>
        </is>
      </c>
      <c r="AP107" s="10" t="n"/>
      <c r="AQ107" s="12" t="n"/>
      <c r="AR107" s="10" t="n"/>
      <c r="AS107" s="10" t="n"/>
      <c r="AT107" s="10" t="n"/>
      <c r="AU107" s="10" t="n"/>
      <c r="AV107" s="10" t="inlineStr">
        <is>
          <t>Sin ejecución individual verificada</t>
        </is>
      </c>
      <c r="AW107" s="10" t="inlineStr">
        <is>
          <t>Sin importe individual verificado; vacío no significa cero</t>
        </is>
      </c>
      <c r="AX107" s="14" t="n"/>
      <c r="AY107" s="14" t="n"/>
      <c r="AZ107" s="14" t="n"/>
      <c r="BA107" s="14" t="n"/>
      <c r="BB107" s="14" t="n"/>
      <c r="BC107" s="10" t="inlineStr">
        <is>
          <t>Revisado: CACVSA servicioaudiovisual</t>
        </is>
      </c>
      <c r="BD107" s="10" t="inlineStr">
        <is>
          <t>Leyart11 funciones director e informes de consejos internos programación; no consulta normativa general.</t>
        </is>
      </c>
      <c r="BE107" s="10" t="inlineStr">
        <is>
          <t>No veto parlamentario ni consentimiento favorable general establecido en las cláusulas revisadas.</t>
        </is>
      </c>
      <c r="BF107" s="10" t="inlineStr">
        <is>
          <t>Alcance limitado a norma y atribuciones citadas; no descarta reglas sectoriales adicionales.</t>
        </is>
      </c>
      <c r="BG107" s="10" t="inlineStr">
        <is>
          <t>Ley2/2024 art11</t>
        </is>
      </c>
      <c r="BH107" s="10" t="inlineStr">
        <is>
          <t>https://www.boe.es/eli/es-vc/l/2024/06/27/2</t>
        </is>
      </c>
      <c r="BI107" s="12" t="n"/>
      <c r="BJ107" s="12" t="n"/>
      <c r="BK107" s="12" t="n"/>
      <c r="BL107" s="12" t="n"/>
      <c r="BM107" s="10" t="n"/>
      <c r="BN107" s="10" t="n"/>
      <c r="BO107" s="12" t="n"/>
      <c r="BP107" s="12" t="n"/>
      <c r="BQ107" s="12" t="n"/>
      <c r="BR107" s="12" t="n"/>
      <c r="BS107" s="12" t="n"/>
      <c r="BT107" s="12" t="n"/>
      <c r="BU107" s="12" t="n"/>
      <c r="BV107" s="27" t="inlineStr">
        <is>
          <t>Sin decisión en el P100</t>
        </is>
      </c>
      <c r="BW107" s="27" t="inlineStr">
        <is>
          <t>Pendiente de decisión</t>
        </is>
      </c>
      <c r="BX107" s="27" t="inlineStr">
        <is>
          <t>Servicio público directo</t>
        </is>
      </c>
      <c r="BY107" s="12" t="n"/>
      <c r="BZ107" s="27" t="inlineStr">
        <is>
          <t>No</t>
        </is>
      </c>
      <c r="CA107" s="27" t="inlineStr">
        <is>
          <t>Parcial</t>
        </is>
      </c>
      <c r="CB107" s="27" t="inlineStr">
        <is>
          <t>Radiotelevisión pública valenciana (81 M); RTVE ya tiene centros territoriales.</t>
        </is>
      </c>
      <c r="CC107" s="27" t="inlineStr">
        <is>
          <t>El P100 no trata las televisiones autonómicas</t>
        </is>
      </c>
      <c r="CD107" s="12" t="n"/>
      <c r="CE107" s="27" t="inlineStr">
        <is>
          <t>Radiotelevisión pública</t>
        </is>
      </c>
      <c r="CF107" s="12" t="n"/>
      <c r="CG107" s="12" t="n"/>
      <c r="CH107" s="29">
        <f>IF(AND(ISNUMBER(BP107),ISNUMBER(AG107),AG107&gt;0),BP107*1000000/AG107,"")</f>
        <v/>
      </c>
      <c r="CI107" s="12" t="n"/>
      <c r="CJ107" s="12" t="n"/>
      <c r="CK107" s="12" t="n"/>
      <c r="CL107" s="12" t="n"/>
      <c r="CM107" s="12" t="n"/>
      <c r="CN107" s="12" t="n"/>
      <c r="CO107" s="12" t="n"/>
      <c r="CP107" s="12" t="n"/>
      <c r="CQ107" s="12" t="n"/>
      <c r="CR107" s="12" t="n"/>
      <c r="CS107" s="12" t="n"/>
    </row>
    <row r="108">
      <c r="A108" s="10" t="n">
        <v>107</v>
      </c>
      <c r="B108" s="10" t="inlineStr">
        <is>
          <t>Autonómico</t>
        </is>
      </c>
      <c r="C108" s="10" t="inlineStr">
        <is>
          <t>País Vasco</t>
        </is>
      </c>
      <c r="D108" s="10" t="inlineStr">
        <is>
          <t>Sánchez</t>
        </is>
      </c>
      <c r="E108" s="10" t="inlineStr">
        <is>
          <t>Aukerak, Agencia Vasca de Reinserción Social</t>
        </is>
      </c>
      <c r="F108" s="10" t="inlineStr">
        <is>
          <t>Creación nueva</t>
        </is>
      </c>
      <c r="G108" s="10" t="inlineStr">
        <is>
          <t>2021-09-30</t>
        </is>
      </c>
      <c r="H108" s="10" t="inlineStr">
        <is>
          <t>Ley 3/2021, de 30 de septiembre</t>
        </is>
      </c>
      <c r="I108" s="10" t="inlineStr">
        <is>
          <t>Gestión de reinserción social (servicios GEA)</t>
        </is>
      </c>
      <c r="J108" s="10" t="inlineStr">
        <is>
          <t>Juicio de capacidad legal: Gestión de reinserción social (servicios GEA). Las funciones legales no acreditan por sí solas actividad, eficacia o dotación efectiva.</t>
        </is>
      </c>
      <c r="K108" s="11" t="n"/>
      <c r="L108" s="10" t="n"/>
      <c r="M108" s="10" t="n"/>
      <c r="N108" s="10" t="n"/>
      <c r="O108" s="10" t="inlineStr">
        <is>
          <t>Sin cifra propia actual verificada</t>
        </is>
      </c>
      <c r="P108" s="12" t="n"/>
      <c r="Q108" s="12" t="n"/>
      <c r="R108" s="10" t="inlineStr">
        <is>
          <t>Sin cifra propia actual 2026 verificada; no significa cero. No atribuir presupuesto del departamento. Presupuesto histórico 2024:16.749.805EUR comunicado en lote; no se usa como importe actual 2026.</t>
        </is>
      </c>
      <c r="S108" s="10" t="inlineStr">
        <is>
          <t>2026 presupuesto inicial; revisión 11/10/2026</t>
        </is>
      </c>
      <c r="T108" s="10" t="inlineStr">
        <is>
          <t>Creación o transformación legal verificada. Estado operativo a 11/10/2026 no confirmado de forma independiente en esta revisión; inscripción registral comunicada por el lote no sustituye la comprobación de actividad.</t>
        </is>
      </c>
      <c r="U108" s="10" t="inlineStr">
        <is>
          <t>Capacidad legal y eficacia práctica son distintas. Estado 2026 y plantilla ocupada no auditados salvo evidencia expresamente señalada. Fecha registral distinta de creación legal.</t>
        </is>
      </c>
      <c r="V108" s="10" t="inlineStr">
        <is>
          <t>No se ha identificado relación en esta revisión (no certifica ausencia)</t>
        </is>
      </c>
      <c r="W108" s="10" t="n"/>
      <c r="X108" s="10" t="inlineStr">
        <is>
          <t>Revisión cualitativa del mandato y estado; no auditoría exhaustiva de proyectos.</t>
        </is>
      </c>
      <c r="Y108" s="10" t="n"/>
      <c r="Z108" s="10" t="inlineStr">
        <is>
          <t>https://www.boe.es/buscar/act.php?id=BOE-A-2021-17054</t>
        </is>
      </c>
      <c r="AA108" s="12" t="n"/>
      <c r="AB108" s="10" t="n"/>
      <c r="AC108" s="10" t="n"/>
      <c r="AD108" s="10" t="n"/>
      <c r="AE108" s="13" t="inlineStr">
        <is>
          <t>https://files.instinct.com/q91pr53q4umo-entidades-publicas-poder-y-presupuesto</t>
        </is>
      </c>
      <c r="AF108" s="10" t="inlineStr">
        <is>
          <t>12/10/2026</t>
        </is>
      </c>
      <c r="AG108" s="10" t="n"/>
      <c r="AH108" s="10" t="n"/>
      <c r="AI108" s="10" t="inlineStr">
        <is>
          <t>Personas ocupadas; no confundir miembros del órgano con empleados</t>
        </is>
      </c>
      <c r="AJ108" s="10" t="inlineStr">
        <is>
          <t>Sin cifra individual verificada en esta revisión</t>
        </is>
      </c>
      <c r="AK108" s="10" t="n"/>
      <c r="AL108" s="12" t="n"/>
      <c r="AM108" s="10" t="n"/>
      <c r="AN108" s="10" t="n"/>
      <c r="AO108" s="10" t="inlineStr">
        <is>
          <t>Sin crédito de personal individual verificado</t>
        </is>
      </c>
      <c r="AP108" s="10" t="n"/>
      <c r="AQ108" s="12" t="n"/>
      <c r="AR108" s="10" t="n"/>
      <c r="AS108" s="10" t="n"/>
      <c r="AT108" s="10" t="n"/>
      <c r="AU108" s="10" t="n"/>
      <c r="AV108" s="10" t="inlineStr">
        <is>
          <t>Sin ejecución individual verificada</t>
        </is>
      </c>
      <c r="AW108" s="10" t="inlineStr">
        <is>
          <t>Sin importe individual verificado; vacío no significa cero</t>
        </is>
      </c>
      <c r="AX108" s="14" t="n"/>
      <c r="AY108" s="14" t="n"/>
      <c r="AZ108" s="14" t="n"/>
      <c r="BA108" s="14" t="n"/>
      <c r="BB108" s="14" t="n"/>
      <c r="BC108" s="10" t="inlineStr">
        <is>
          <t>Revisado: Aukerak: reinserción y empleo</t>
        </is>
      </c>
      <c r="BD108" s="10" t="inlineStr">
        <is>
          <t>Trabajo/ formación penitenciaria y reinserción; no informe legislativo general en leycreación.</t>
        </is>
      </c>
      <c r="BE108" s="10" t="inlineStr">
        <is>
          <t>No consentimiento favorable ni veto legislativo establecido en las cláusulas revisadas.</t>
        </is>
      </c>
      <c r="BF108" s="10" t="inlineStr">
        <is>
          <t>Revisión limitada a las atribuciones citadas: no descarta trámites sectoriales en otras normas.</t>
        </is>
      </c>
      <c r="BG108" s="10" t="inlineStr">
        <is>
          <t>Ley3/2021 art1.3</t>
        </is>
      </c>
      <c r="BH108" s="10" t="inlineStr">
        <is>
          <t>https://www.boe.es/buscar/pdf/2021/BOE-A-2021-17054-consolidado.pdf</t>
        </is>
      </c>
      <c r="BI108" s="12" t="n"/>
      <c r="BJ108" s="12" t="n"/>
      <c r="BK108" s="12" t="n"/>
      <c r="BL108" s="12" t="n"/>
      <c r="BM108" s="10" t="n"/>
      <c r="BN108" s="10" t="n"/>
      <c r="BO108" s="12" t="n"/>
      <c r="BP108" s="12" t="n"/>
      <c r="BQ108" s="12" t="n"/>
      <c r="BR108" s="12" t="n"/>
      <c r="BS108" s="12" t="n"/>
      <c r="BT108" s="12" t="n"/>
      <c r="BU108" s="12" t="n"/>
      <c r="BV108" s="27" t="inlineStr">
        <is>
          <t>No útil</t>
        </is>
      </c>
      <c r="BW108" s="27" t="inlineStr">
        <is>
          <t>Integrar</t>
        </is>
      </c>
      <c r="BX108" s="27" t="inlineStr">
        <is>
          <t>Servicio público directo</t>
        </is>
      </c>
      <c r="BY108" s="12" t="n"/>
      <c r="BZ108" s="27" t="inlineStr">
        <is>
          <t>No</t>
        </is>
      </c>
      <c r="CA108" s="27" t="inlineStr">
        <is>
          <t>Parcial</t>
        </is>
      </c>
      <c r="CB108" s="27" t="inlineStr">
        <is>
          <t>Gestiona la reinserción de presos en el País Vasco; el P100 quiere que el Estado recupere la gestión de las prisiones.</t>
        </is>
      </c>
      <c r="CC108" s="27" t="inlineStr">
        <is>
          <t>Explícito en el P100: Organización del Estado 19</t>
        </is>
      </c>
      <c r="CD108" s="27" t="inlineStr">
        <is>
          <t>Secretaría General de Instituciones Penitenciarias (Estado)</t>
        </is>
      </c>
      <c r="CE108" s="27" t="inlineStr">
        <is>
          <t>Reinserción social</t>
        </is>
      </c>
      <c r="CF108" s="12" t="n"/>
      <c r="CG108" s="12" t="n"/>
      <c r="CH108" s="29">
        <f>IF(AND(ISNUMBER(BP108),ISNUMBER(AG108),AG108&gt;0),BP108*1000000/AG108,"")</f>
        <v/>
      </c>
      <c r="CI108" s="12" t="n"/>
      <c r="CJ108" s="12" t="n"/>
      <c r="CK108" s="12" t="n"/>
      <c r="CL108" s="12" t="n"/>
      <c r="CM108" s="12" t="n"/>
      <c r="CN108" s="12" t="n"/>
      <c r="CO108" s="12" t="n"/>
      <c r="CP108" s="12" t="n"/>
      <c r="CQ108" s="12" t="n"/>
      <c r="CR108" s="12" t="n"/>
      <c r="CS108" s="12" t="n"/>
    </row>
    <row r="109">
      <c r="A109" s="10" t="n">
        <v>108</v>
      </c>
      <c r="B109" s="10" t="inlineStr">
        <is>
          <t>Autonómico</t>
        </is>
      </c>
      <c r="C109" s="10" t="inlineStr">
        <is>
          <t>País Vasco</t>
        </is>
      </c>
      <c r="D109" s="10" t="inlineStr">
        <is>
          <t>Sánchez</t>
        </is>
      </c>
      <c r="E109" s="10" t="inlineStr">
        <is>
          <t>Agencia Vasca de Ciberseguridad</t>
        </is>
      </c>
      <c r="F109" s="10" t="inlineStr">
        <is>
          <t>Creación nueva</t>
        </is>
      </c>
      <c r="G109" s="10" t="inlineStr">
        <is>
          <t>2023-06-29</t>
        </is>
      </c>
      <c r="H109" s="10" t="inlineStr">
        <is>
          <t>Ley 7/2023, de 29 de junio</t>
        </is>
      </c>
      <c r="I109" s="10" t="inlineStr">
        <is>
          <t>Ciberseguridad de las administraciones vascas</t>
        </is>
      </c>
      <c r="J109" s="10" t="inlineStr">
        <is>
          <t>Juicio de capacidad legal: Ciberseguridad de las administraciones vascas. Las funciones legales no acreditan por sí solas actividad, eficacia o dotación efectiva.</t>
        </is>
      </c>
      <c r="K109" s="11" t="n"/>
      <c r="L109" s="10" t="n"/>
      <c r="M109" s="10" t="n"/>
      <c r="N109" s="10" t="n"/>
      <c r="O109" s="10" t="inlineStr">
        <is>
          <t>Sin cifra propia actual verificada</t>
        </is>
      </c>
      <c r="P109" s="12" t="n"/>
      <c r="Q109" s="12" t="n"/>
      <c r="R109" s="10" t="inlineStr">
        <is>
          <t>Sin cifra propia actual 2026 verificada; no significa cero. No atribuir presupuesto del departamento.</t>
        </is>
      </c>
      <c r="S109" s="10" t="inlineStr">
        <is>
          <t>2026 presupuesto inicial; revisión 11/10/2026</t>
        </is>
      </c>
      <c r="T109" s="10" t="inlineStr">
        <is>
          <t>Creación o transformación legal verificada. Estado operativo a 11/10/2026 no confirmado de forma independiente en esta revisión; inscripción registral comunicada por el lote no sustituye la comprobación de actividad.</t>
        </is>
      </c>
      <c r="U109" s="10" t="inlineStr">
        <is>
          <t>Capacidad legal y eficacia práctica son distintas. Estado 2026 y plantilla ocupada no auditados salvo evidencia expresamente señalada. Fecha registral distinta de creación legal.</t>
        </is>
      </c>
      <c r="V109" s="10" t="inlineStr">
        <is>
          <t>Mandato paralelo; jurisdicciones distintas</t>
        </is>
      </c>
      <c r="W109" s="10" t="inlineStr">
        <is>
          <t>110</t>
        </is>
      </c>
      <c r="X109" s="10" t="inlineStr">
        <is>
          <t>Agencias de ciberseguridad vasca y catalana: distintos ámbitos autonómicos. No se demuestra doble financiación ni duplicación operativa.</t>
        </is>
      </c>
      <c r="Y109" s="10" t="inlineStr">
        <is>
          <t>https://www.boe.es/diario_boe/txt.php?id=BOE-A-2023-17645
https://www.sindicatura.cat/documents/36414/85841/2023_39_ca.pdf</t>
        </is>
      </c>
      <c r="Z109" s="10" t="inlineStr">
        <is>
          <t>https://www.boe.es/diario_boe/txt.php?id=BOE-A-2023-17645</t>
        </is>
      </c>
      <c r="AA109" s="12" t="n"/>
      <c r="AB109" s="10" t="n"/>
      <c r="AC109" s="10" t="n"/>
      <c r="AD109" s="10" t="n"/>
      <c r="AE109" s="13" t="inlineStr">
        <is>
          <t>https://files.instinct.com/q91pr53q4umo-entidades-publicas-poder-y-presupuesto</t>
        </is>
      </c>
      <c r="AF109" s="10" t="inlineStr">
        <is>
          <t>12/10/2026</t>
        </is>
      </c>
      <c r="AG109" s="10" t="n"/>
      <c r="AH109" s="10" t="n"/>
      <c r="AI109" s="10" t="inlineStr">
        <is>
          <t>Personas ocupadas; no confundir miembros del órgano con empleados</t>
        </is>
      </c>
      <c r="AJ109" s="10" t="inlineStr">
        <is>
          <t>Sin cifra individual verificada en esta revisión</t>
        </is>
      </c>
      <c r="AK109" s="10" t="n"/>
      <c r="AL109" s="12" t="n"/>
      <c r="AM109" s="10" t="n"/>
      <c r="AN109" s="10" t="n"/>
      <c r="AO109" s="10" t="inlineStr">
        <is>
          <t>Sin crédito de personal individual verificado</t>
        </is>
      </c>
      <c r="AP109" s="10" t="n"/>
      <c r="AQ109" s="12" t="n"/>
      <c r="AR109" s="10" t="n"/>
      <c r="AS109" s="10" t="n"/>
      <c r="AT109" s="10" t="n"/>
      <c r="AU109" s="10" t="n"/>
      <c r="AV109" s="10" t="inlineStr">
        <is>
          <t>Sin ejecución individual verificada</t>
        </is>
      </c>
      <c r="AW109" s="10" t="inlineStr">
        <is>
          <t>Sin importe individual verificado; vacío no significa cero</t>
        </is>
      </c>
      <c r="AX109" s="14" t="n"/>
      <c r="AY109" s="14" t="n"/>
      <c r="AZ109" s="14" t="n"/>
      <c r="BA109" s="14" t="n"/>
      <c r="BB109" s="14" t="n"/>
      <c r="BC109" s="10" t="inlineStr">
        <is>
          <t>Revisado: AgenciaVascaCiberseguridad</t>
        </is>
      </c>
      <c r="BD109" s="10" t="inlineStr">
        <is>
          <t>SÍ informe preceptivo en elaboración disposicionesnormativas GobiernoVasco materia ciberseguridad.</t>
        </is>
      </c>
      <c r="BE109" s="10" t="inlineStr">
        <is>
          <t>No se exige consentimiento favorable ni carácter vinculante del informe en la cláusula citada; no es veto.</t>
        </is>
      </c>
      <c r="BF109" s="10" t="inlineStr">
        <is>
          <t>Trámite previo en ámbito específico. Omitirlo puede generar cuestión procedimental, no veto parlamentario automático; efecto exacto requiere analizar procedimiento.</t>
        </is>
      </c>
      <c r="BG109" s="10" t="inlineStr">
        <is>
          <t>Ley7/2023 art2c</t>
        </is>
      </c>
      <c r="BH109" s="10" t="inlineStr">
        <is>
          <t>https://www.boe.es/diario_boe/txt.php?id=BOE-A-2023-17645</t>
        </is>
      </c>
      <c r="BI109" s="12" t="n"/>
      <c r="BJ109" s="12" t="n"/>
      <c r="BK109" s="12" t="n"/>
      <c r="BL109" s="12" t="n"/>
      <c r="BM109" s="10" t="n"/>
      <c r="BN109" s="10" t="n"/>
      <c r="BO109" s="12" t="n"/>
      <c r="BP109" s="12" t="n"/>
      <c r="BQ109" s="12" t="n"/>
      <c r="BR109" s="12" t="n"/>
      <c r="BS109" s="12" t="n"/>
      <c r="BT109" s="12" t="n"/>
      <c r="BU109" s="12" t="n"/>
      <c r="BV109" s="27" t="inlineStr">
        <is>
          <t>No útil</t>
        </is>
      </c>
      <c r="BW109" s="27" t="inlineStr">
        <is>
          <t>Integrar</t>
        </is>
      </c>
      <c r="BX109" s="27" t="inlineStr">
        <is>
          <t>Servicio público directo</t>
        </is>
      </c>
      <c r="BY109" s="27" t="inlineStr">
        <is>
          <t>Duplica a INCIBE y CCN-CERT, que ya cubre este territorio o puede hacerlo. 9 organismos sobre este tema entre el Estado y las CCAA (verificados).</t>
        </is>
      </c>
      <c r="BZ109" s="27" t="inlineStr">
        <is>
          <t>No</t>
        </is>
      </c>
      <c r="CA109" s="27" t="inlineStr">
        <is>
          <t>Parcial</t>
        </is>
      </c>
      <c r="CB109" s="27" t="inlineStr">
        <is>
          <t>Agencia autonómica de ciberseguridad; el CCN-CERT es por ley el centro de referencia de todas las administraciones.</t>
        </is>
      </c>
      <c r="CC109" s="27" t="inlineStr">
        <is>
          <t>Aplicando el criterio del P100: Criterio Extramuros del 12/10/2026</t>
        </is>
      </c>
      <c r="CD109" s="27" t="inlineStr">
        <is>
          <t>Centro Criptológico Nacional (CCN-CERT) e Instituto Nacional de Ciberseguridad (INCIBE)</t>
        </is>
      </c>
      <c r="CE109" s="27" t="inlineStr">
        <is>
          <t>Agencias de ciberseguridad</t>
        </is>
      </c>
      <c r="CF109" s="28" t="n">
        <v>9</v>
      </c>
      <c r="CG109" s="12" t="n"/>
      <c r="CH109" s="29">
        <f>IF(AND(ISNUMBER(BP109),ISNUMBER(AG109),AG109&gt;0),BP109*1000000/AG109,"")</f>
        <v/>
      </c>
      <c r="CI109" s="12" t="n"/>
      <c r="CJ109" s="12" t="n"/>
      <c r="CK109" s="12" t="n"/>
      <c r="CL109" s="12" t="n"/>
      <c r="CM109" s="12" t="n"/>
      <c r="CN109" s="12" t="n"/>
      <c r="CO109" s="12" t="n"/>
      <c r="CP109" s="12" t="n"/>
      <c r="CQ109" s="12" t="n"/>
      <c r="CR109" s="12" t="n"/>
      <c r="CS109" s="12" t="n"/>
    </row>
    <row r="110">
      <c r="A110" s="10" t="n">
        <v>109</v>
      </c>
      <c r="B110" s="10" t="inlineStr">
        <is>
          <t>Autonómico</t>
        </is>
      </c>
      <c r="C110" s="10" t="inlineStr">
        <is>
          <t>País Vasco</t>
        </is>
      </c>
      <c r="D110" s="10" t="inlineStr">
        <is>
          <t>Sánchez</t>
        </is>
      </c>
      <c r="E110" s="10" t="inlineStr">
        <is>
          <t>Euskadiko Kirol Portuak (Puertos Deportivos de Euskadi)</t>
        </is>
      </c>
      <c r="F110" s="10" t="inlineStr">
        <is>
          <t>Transformación de sociedad Euskadiko Kirol Portua,S.A. en ente público</t>
        </is>
      </c>
      <c r="G110" s="10" t="inlineStr">
        <is>
          <t>2018-06-28</t>
        </is>
      </c>
      <c r="H110" s="10" t="inlineStr">
        <is>
          <t>Ley 2/2018, de 28 de junio, de Puertos y Transporte Marítimo del País Vasco</t>
        </is>
      </c>
      <c r="I110" s="10" t="inlineStr">
        <is>
          <t>Gestión de puertos deportivos</t>
        </is>
      </c>
      <c r="J110" s="10" t="inlineStr">
        <is>
          <t>Juicio de capacidad legal: Gestión de puertos deportivos. Las funciones legales no acreditan por sí solas actividad, eficacia o dotación efectiva.</t>
        </is>
      </c>
      <c r="K110" s="11" t="n"/>
      <c r="L110" s="10" t="n"/>
      <c r="M110" s="10" t="n"/>
      <c r="N110" s="10" t="n"/>
      <c r="O110" s="10" t="inlineStr">
        <is>
          <t>Sin cifra propia actual verificada</t>
        </is>
      </c>
      <c r="P110" s="12" t="n"/>
      <c r="Q110" s="12" t="n"/>
      <c r="R110" s="10" t="inlineStr">
        <is>
          <t>Sin cifra propia actual 2026 verificada; no significa cero. No atribuir presupuesto del departamento.</t>
        </is>
      </c>
      <c r="S110" s="10" t="inlineStr">
        <is>
          <t>2026 presupuesto inicial; revisión 11/10/2026</t>
        </is>
      </c>
      <c r="T110" s="10" t="inlineStr">
        <is>
          <t>Creación o transformación legal verificada. Estado operativo a 11/10/2026 no confirmado de forma independiente en esta revisión; inscripción registral comunicada por el lote no sustituye la comprobación de actividad.</t>
        </is>
      </c>
      <c r="U110" s="10" t="inlineStr">
        <is>
          <t>Capacidad legal y eficacia práctica son distintas. Estado 2026 y plantilla ocupada no auditados salvo evidencia expresamente señalada. Fecha registral distinta de creación legal.</t>
        </is>
      </c>
      <c r="V110" s="10" t="inlineStr">
        <is>
          <t>No se ha identificado relación en esta revisión (no certifica ausencia)</t>
        </is>
      </c>
      <c r="W110" s="10" t="n"/>
      <c r="X110" s="10" t="inlineStr">
        <is>
          <t>Revisión cualitativa del mandato y estado; no auditoría exhaustiva de proyectos.</t>
        </is>
      </c>
      <c r="Y110" s="10" t="n"/>
      <c r="Z110" s="10" t="inlineStr">
        <is>
          <t>https://boe.es/buscar/act.php?id=BOE-A-2018-11064</t>
        </is>
      </c>
      <c r="AA110" s="12" t="n"/>
      <c r="AB110" s="10" t="n"/>
      <c r="AC110" s="10" t="n"/>
      <c r="AD110" s="10" t="n"/>
      <c r="AE110" s="13" t="inlineStr">
        <is>
          <t>https://files.instinct.com/q91pr53q4umo-entidades-publicas-poder-y-presupuesto</t>
        </is>
      </c>
      <c r="AF110" s="10" t="inlineStr">
        <is>
          <t>12/10/2026</t>
        </is>
      </c>
      <c r="AG110" s="10" t="n"/>
      <c r="AH110" s="10" t="n"/>
      <c r="AI110" s="10" t="inlineStr">
        <is>
          <t>Personas ocupadas; no confundir miembros del órgano con empleados</t>
        </is>
      </c>
      <c r="AJ110" s="10" t="inlineStr">
        <is>
          <t>Sin cifra individual verificada en esta revisión</t>
        </is>
      </c>
      <c r="AK110" s="10" t="n"/>
      <c r="AL110" s="12" t="n"/>
      <c r="AM110" s="10" t="n"/>
      <c r="AN110" s="10" t="n"/>
      <c r="AO110" s="10" t="inlineStr">
        <is>
          <t>Sin crédito de personal individual verificado</t>
        </is>
      </c>
      <c r="AP110" s="10" t="n"/>
      <c r="AQ110" s="12" t="n"/>
      <c r="AR110" s="10" t="n"/>
      <c r="AS110" s="10" t="n"/>
      <c r="AT110" s="10" t="n"/>
      <c r="AU110" s="10" t="n"/>
      <c r="AV110" s="10" t="inlineStr">
        <is>
          <t>Sin ejecución individual verificada</t>
        </is>
      </c>
      <c r="AW110" s="10" t="inlineStr">
        <is>
          <t>Sin importe individual verificado; vacío no significa cero</t>
        </is>
      </c>
      <c r="AX110" s="14" t="n"/>
      <c r="AY110" s="14" t="n"/>
      <c r="AZ110" s="14" t="n"/>
      <c r="BA110" s="14" t="n"/>
      <c r="BB110" s="14" t="n"/>
      <c r="BC110" s="10" t="inlineStr">
        <is>
          <t>Revisado: EKP: cooperación técnica puertos</t>
        </is>
      </c>
      <c r="BD110" s="10" t="inlineStr">
        <is>
          <t>Cooperación con administración en informesportuarios art5.2i; informeurbanístico de administración general no poder independiente EKP.</t>
        </is>
      </c>
      <c r="BE110" s="10" t="inlineStr">
        <is>
          <t>No consentimiento favorable ni veto legislativo establecido en las cláusulas revisadas.</t>
        </is>
      </c>
      <c r="BF110" s="10" t="inlineStr">
        <is>
          <t>Revisión limitada a las atribuciones citadas: no descarta trámites sectoriales en otras normas.</t>
        </is>
      </c>
      <c r="BG110" s="10" t="inlineStr">
        <is>
          <t>Ley2/2018 arts5.2i,25a</t>
        </is>
      </c>
      <c r="BH110" s="10" t="inlineStr">
        <is>
          <t>https://boe.es/buscar/act.php?id=BOE-A-2018-11064</t>
        </is>
      </c>
      <c r="BI110" s="12" t="n"/>
      <c r="BJ110" s="12" t="n"/>
      <c r="BK110" s="12" t="n"/>
      <c r="BL110" s="12" t="n"/>
      <c r="BM110" s="10" t="n"/>
      <c r="BN110" s="10" t="n"/>
      <c r="BO110" s="12" t="n"/>
      <c r="BP110" s="12" t="n"/>
      <c r="BQ110" s="12" t="n"/>
      <c r="BR110" s="12" t="n"/>
      <c r="BS110" s="12" t="n"/>
      <c r="BT110" s="12" t="n"/>
      <c r="BU110" s="12" t="n"/>
      <c r="BV110" s="27" t="inlineStr">
        <is>
          <t>Útil</t>
        </is>
      </c>
      <c r="BW110" s="27" t="inlineStr">
        <is>
          <t>Mantener</t>
        </is>
      </c>
      <c r="BX110" s="27" t="inlineStr">
        <is>
          <t>Servicio público directo</t>
        </is>
      </c>
      <c r="BY110" s="12" t="n"/>
      <c r="BZ110" s="27" t="inlineStr">
        <is>
          <t>No</t>
        </is>
      </c>
      <c r="CA110" s="27" t="inlineStr">
        <is>
          <t>Parcial</t>
        </is>
      </c>
      <c r="CB110" s="27" t="inlineStr">
        <is>
          <t>Gestiona los puertos deportivos vascos con ingresos propios.</t>
        </is>
      </c>
      <c r="CC110" s="27" t="inlineStr">
        <is>
          <t>Aplicando el criterio del P100: Servicio directo</t>
        </is>
      </c>
      <c r="CD110" s="12" t="n"/>
      <c r="CE110" s="27" t="inlineStr">
        <is>
          <t>Puertos deportivos</t>
        </is>
      </c>
      <c r="CF110" s="12" t="n"/>
      <c r="CG110" s="12" t="n"/>
      <c r="CH110" s="29">
        <f>IF(AND(ISNUMBER(BP110),ISNUMBER(AG110),AG110&gt;0),BP110*1000000/AG110,"")</f>
        <v/>
      </c>
      <c r="CI110" s="12" t="n"/>
      <c r="CJ110" s="12" t="n"/>
      <c r="CK110" s="12" t="n"/>
      <c r="CL110" s="12" t="n"/>
      <c r="CM110" s="12" t="n"/>
      <c r="CN110" s="12" t="n"/>
      <c r="CO110" s="12" t="n"/>
      <c r="CP110" s="12" t="n"/>
      <c r="CQ110" s="12" t="n"/>
      <c r="CR110" s="12" t="n"/>
      <c r="CS110" s="12" t="n"/>
    </row>
    <row r="111">
      <c r="A111" s="10" t="n">
        <v>110</v>
      </c>
      <c r="B111" s="10" t="inlineStr">
        <is>
          <t>Autonómico</t>
        </is>
      </c>
      <c r="C111" s="10" t="inlineStr">
        <is>
          <t>Cataluña</t>
        </is>
      </c>
      <c r="D111" s="10" t="inlineStr">
        <is>
          <t>Rajoy</t>
        </is>
      </c>
      <c r="E111" s="10" t="inlineStr">
        <is>
          <t>Agència de Ciberseguretat de Catalunya</t>
        </is>
      </c>
      <c r="F111" s="10" t="inlineStr">
        <is>
          <t>Creación 2017</t>
        </is>
      </c>
      <c r="G111" s="10" t="inlineStr">
        <is>
          <t>2017-07-25</t>
        </is>
      </c>
      <c r="H111" s="10" t="inlineStr">
        <is>
          <t>Llei 15/2017, de 25 de juliol</t>
        </is>
      </c>
      <c r="I111" s="10" t="inlineStr">
        <is>
          <t>Ciberseguridad de la Generalitat</t>
        </is>
      </c>
      <c r="J111" s="10" t="inlineStr">
        <is>
          <t>Juicio de capacidad legal: Ciberseguridad de la Generalitat. Las funciones legales no acreditan por sí solas actividad, eficacia o dotación efectiva.</t>
        </is>
      </c>
      <c r="K111" s="11" t="n"/>
      <c r="L111" s="10" t="n"/>
      <c r="M111" s="10" t="n"/>
      <c r="N111" s="10" t="n"/>
      <c r="O111" s="10" t="inlineStr">
        <is>
          <t>Sin cifra propia actual verificada</t>
        </is>
      </c>
      <c r="P111" s="12" t="n"/>
      <c r="Q111" s="12" t="n"/>
      <c r="R111" s="10" t="inlineStr">
        <is>
          <t>Sin cifra propia actual 2026 verificada; no significa cero. No atribuir presupuesto del departamento.</t>
        </is>
      </c>
      <c r="S111" s="10" t="inlineStr">
        <is>
          <t>2026 presupuesto inicial; revisión 11/10/2026</t>
        </is>
      </c>
      <c r="T111" s="10" t="inlineStr">
        <is>
          <t>Creación o transformación legal verificada. Estado operativo a 11/10/2026 no confirmado de forma independiente en esta revisión; inscripción registral comunicada por el lote no sustituye la comprobación de actividad.</t>
        </is>
      </c>
      <c r="U111" s="10" t="inlineStr">
        <is>
          <t>Capacidad legal y eficacia práctica son distintas. Estado 2026 y plantilla ocupada no auditados salvo evidencia expresamente señalada. Fecha registral distinta de creación legal.</t>
        </is>
      </c>
      <c r="V111" s="10" t="inlineStr">
        <is>
          <t>Mandato paralelo; jurisdicciones distintas</t>
        </is>
      </c>
      <c r="W111" s="10" t="inlineStr">
        <is>
          <t>108</t>
        </is>
      </c>
      <c r="X111" s="10" t="inlineStr">
        <is>
          <t>Agencias de ciberseguridad vasca y catalana: distintos ámbitos autonómicos. No se demuestra doble financiación ni duplicación operativa.</t>
        </is>
      </c>
      <c r="Y111" s="10" t="inlineStr">
        <is>
          <t>https://www.boe.es/diario_boe/txt.php?id=BOE-A-2023-17645
https://www.sindicatura.cat/documents/36414/85841/2023_39_ca.pdf</t>
        </is>
      </c>
      <c r="Z111" s="10" t="inlineStr">
        <is>
          <t>https://www.sindicatura.cat/documents/36414/85841/2023_39_ca.pdf</t>
        </is>
      </c>
      <c r="AA111" s="12" t="n"/>
      <c r="AB111" s="10" t="n"/>
      <c r="AC111" s="10" t="n"/>
      <c r="AD111" s="10" t="n"/>
      <c r="AE111" s="13" t="inlineStr">
        <is>
          <t>https://files.instinct.com/q91pr53q4umo-entidades-publicas-poder-y-presupuesto</t>
        </is>
      </c>
      <c r="AF111" s="10" t="inlineStr">
        <is>
          <t>12/10/2026</t>
        </is>
      </c>
      <c r="AG111" s="10" t="n"/>
      <c r="AH111" s="10" t="n"/>
      <c r="AI111" s="10" t="inlineStr">
        <is>
          <t>Personas ocupadas; no confundir miembros del órgano con empleados</t>
        </is>
      </c>
      <c r="AJ111" s="10" t="inlineStr">
        <is>
          <t>Sin cifra individual verificada en esta revisión</t>
        </is>
      </c>
      <c r="AK111" s="10" t="n"/>
      <c r="AL111" s="12" t="n"/>
      <c r="AM111" s="10" t="n"/>
      <c r="AN111" s="10" t="n"/>
      <c r="AO111" s="10" t="inlineStr">
        <is>
          <t>Sin crédito de personal individual verificado</t>
        </is>
      </c>
      <c r="AP111" s="10" t="n"/>
      <c r="AQ111" s="12" t="n"/>
      <c r="AR111" s="10" t="n"/>
      <c r="AS111" s="10" t="n"/>
      <c r="AT111" s="10" t="n"/>
      <c r="AU111" s="10" t="n"/>
      <c r="AV111" s="10" t="inlineStr">
        <is>
          <t>Sin ejecución individual verificada</t>
        </is>
      </c>
      <c r="AW111" s="10" t="inlineStr">
        <is>
          <t>Sin importe individual verificado; vacío no significa cero</t>
        </is>
      </c>
      <c r="AX111" s="14" t="n"/>
      <c r="AY111" s="14" t="n"/>
      <c r="AZ111" s="14" t="n"/>
      <c r="BA111" s="14" t="n"/>
      <c r="BB111" s="14" t="n"/>
      <c r="BC111" s="10" t="inlineStr">
        <is>
          <t>Revisado: CiberseguridadCataluña informe PRECEPTIVO</t>
        </is>
      </c>
      <c r="BD111" s="10" t="inlineStr">
        <is>
          <t>Sí: elaboración disposicionesnormativas Generalitat sobre ciberseguridad y gobernanzaTIC.</t>
        </is>
      </c>
      <c r="BE111" s="10" t="inlineStr">
        <is>
          <t>Informe sin consentimiento favorable en cláusula. Normastécnicas seguridad internas sí cumplimientoobligatorio, función distinta.</t>
        </is>
      </c>
      <c r="BF111" s="10" t="inlineStr">
        <is>
          <t>Revisión limitada a las atribuciones citadas: no descarta trámites sectoriales en otras normas.</t>
        </is>
      </c>
      <c r="BG111" s="10" t="inlineStr">
        <is>
          <t>Ley15/2017 art2.5a,b</t>
        </is>
      </c>
      <c r="BH111" s="10" t="inlineStr">
        <is>
          <t>https://www.boe.es/eli/es-ct/l/2017/07/25/15</t>
        </is>
      </c>
      <c r="BI111" s="12" t="n"/>
      <c r="BJ111" s="12" t="n"/>
      <c r="BK111" s="12" t="n"/>
      <c r="BL111" s="12" t="n"/>
      <c r="BM111" s="10" t="n"/>
      <c r="BN111" s="10" t="n"/>
      <c r="BO111" s="12" t="n"/>
      <c r="BP111" s="12" t="n"/>
      <c r="BQ111" s="12" t="n"/>
      <c r="BR111" s="12" t="n"/>
      <c r="BS111" s="12" t="n"/>
      <c r="BT111" s="12" t="n"/>
      <c r="BU111" s="12" t="n"/>
      <c r="BV111" s="27" t="inlineStr">
        <is>
          <t>No útil</t>
        </is>
      </c>
      <c r="BW111" s="27" t="inlineStr">
        <is>
          <t>Integrar</t>
        </is>
      </c>
      <c r="BX111" s="27" t="inlineStr">
        <is>
          <t>Servicio público directo</t>
        </is>
      </c>
      <c r="BY111" s="27" t="inlineStr">
        <is>
          <t>Duplica a INCIBE y CCN-CERT, que ya cubre este territorio o puede hacerlo. 9 organismos sobre este tema entre el Estado y las CCAA (verificados).</t>
        </is>
      </c>
      <c r="BZ111" s="27" t="inlineStr">
        <is>
          <t>No</t>
        </is>
      </c>
      <c r="CA111" s="27" t="inlineStr">
        <is>
          <t>Parcial</t>
        </is>
      </c>
      <c r="CB111" s="27" t="inlineStr">
        <is>
          <t>Agencia autonómica de ciberseguridad; el CCN-CERT es por ley el centro de referencia de todas las administraciones.</t>
        </is>
      </c>
      <c r="CC111" s="27" t="inlineStr">
        <is>
          <t>Aplicando el criterio del P100: Criterio Extramuros del 12/10/2026</t>
        </is>
      </c>
      <c r="CD111" s="27" t="inlineStr">
        <is>
          <t>Centro Criptológico Nacional (CCN-CERT) e Instituto Nacional de Ciberseguridad (INCIBE)</t>
        </is>
      </c>
      <c r="CE111" s="27" t="inlineStr">
        <is>
          <t>Agencias de ciberseguridad</t>
        </is>
      </c>
      <c r="CF111" s="28" t="n">
        <v>9</v>
      </c>
      <c r="CG111" s="12" t="n"/>
      <c r="CH111" s="29">
        <f>IF(AND(ISNUMBER(BP111),ISNUMBER(AG111),AG111&gt;0),BP111*1000000/AG111,"")</f>
        <v/>
      </c>
      <c r="CI111" s="12" t="n"/>
      <c r="CJ111" s="12" t="n"/>
      <c r="CK111" s="12" t="n"/>
      <c r="CL111" s="12" t="n"/>
      <c r="CM111" s="12" t="n"/>
      <c r="CN111" s="12" t="n"/>
      <c r="CO111" s="12" t="n"/>
      <c r="CP111" s="12" t="n"/>
      <c r="CQ111" s="12" t="n"/>
      <c r="CR111" s="12" t="n"/>
      <c r="CS111" s="12" t="n"/>
    </row>
    <row r="112">
      <c r="A112" s="10" t="n">
        <v>111</v>
      </c>
      <c r="B112" s="10" t="inlineStr">
        <is>
          <t>Autonómico</t>
        </is>
      </c>
      <c r="C112" s="10" t="inlineStr">
        <is>
          <t>Illes Balears</t>
        </is>
      </c>
      <c r="D112" s="10" t="inlineStr">
        <is>
          <t>Zapatero</t>
        </is>
      </c>
      <c r="E112" s="10" t="inlineStr">
        <is>
          <t>Agencia de Salud Pública de las Illes Balears (ASPIB)</t>
        </is>
      </c>
      <c r="F112" s="10" t="inlineStr">
        <is>
          <t>Creación legal 2010; alta registral 2023 (posible activación tardía: caso de ley sin despliegue inmediato)</t>
        </is>
      </c>
      <c r="G112" s="10" t="inlineStr">
        <is>
          <t>2010-12-28</t>
        </is>
      </c>
      <c r="H112" s="10" t="inlineStr">
        <is>
          <t>Ley 16/2010, de 28 de diciembre, de salud pública de las Illes Balears (Título VII la crea)</t>
        </is>
      </c>
      <c r="I112" s="10" t="inlineStr">
        <is>
          <t>Salud pública de les Illes Balears</t>
        </is>
      </c>
      <c r="J112" s="10" t="inlineStr">
        <is>
          <t>Juicio de capacidad legal: Salud pública de les Illes Balears. Las funciones legales no acreditan por sí solas actividad, eficacia o dotación efectiva.</t>
        </is>
      </c>
      <c r="K112" s="11" t="n">
        <v>15.506867</v>
      </c>
      <c r="L112" s="10" t="n">
        <v>2026</v>
      </c>
      <c r="M112" s="10" t="inlineStr">
        <is>
          <t>Presupuesto propio aprobado</t>
        </is>
      </c>
      <c r="N112" s="10" t="inlineStr">
        <is>
          <t>2026: presupuesto publicado; no ejecución</t>
        </is>
      </c>
      <c r="O112" s="10" t="inlineStr">
        <is>
          <t>Cifra propia verificada</t>
        </is>
      </c>
      <c r="P112" s="12" t="n">
        <v>15.506867</v>
      </c>
      <c r="Q112" s="12" t="n"/>
      <c r="R112" s="10" t="inlineStr">
        <is>
          <t>Sección74: total gastos15.506867M EUR. Cap2 bienes/servicios15.147651M; cap4 transferenciascorrientes0.088216M; cap6 inversionesreales0.271M. NO personal15.147651M. Página12 ingresos2.479415M (tasas/otros2.397330M + transferenciascorrientes0.082085M) NO capital adicional ni importe sumable al gasto.</t>
        </is>
      </c>
      <c r="S112" s="10" t="inlineStr">
        <is>
          <t>PresupuestosGeneralesCAIB2026, PDF creado19/12/2025; comprobado11/10/2026</t>
        </is>
      </c>
      <c r="T112" s="10" t="inlineStr">
        <is>
          <t>Creación o transformación legal verificada. Estado operativo a 11/10/2026 no confirmado de forma independiente en esta revisión; inscripción registral comunicada por el lote no sustituye la comprobación de actividad.</t>
        </is>
      </c>
      <c r="U112" s="10" t="inlineStr">
        <is>
          <t>Capacidad legal y eficacia práctica son distintas. Estado 2026 y plantilla ocupada no auditados salvo evidencia expresamente señalada. Fecha registral distinta de creación legal.</t>
        </is>
      </c>
      <c r="V112" s="10" t="inlineStr">
        <is>
          <t>No se ha identificado relación en esta revisión (no certifica ausencia)</t>
        </is>
      </c>
      <c r="W112" s="10" t="n"/>
      <c r="X112" s="10" t="inlineStr">
        <is>
          <t>Revisión cualitativa del mandato y estado; no auditoría exhaustiva de proyectos.</t>
        </is>
      </c>
      <c r="Y112" s="10" t="n"/>
      <c r="Z112" s="10" t="inlineStr">
        <is>
          <t>https://www.boe.es/buscar/act.php?id=BOE-A-2011-2108
https://www.caib.es/sites/pressuposts/f/540093</t>
        </is>
      </c>
      <c r="AA112" s="12" t="n"/>
      <c r="AB112" s="10" t="n"/>
      <c r="AC112" s="10" t="n"/>
      <c r="AD112" s="10" t="n"/>
      <c r="AE112" s="13" t="inlineStr">
        <is>
          <t>https://www.caib.es/sites/pressuposts/f/540093</t>
        </is>
      </c>
      <c r="AF112" s="10" t="inlineStr">
        <is>
          <t>12/10/2026</t>
        </is>
      </c>
      <c r="AG112" s="10" t="n"/>
      <c r="AH112" s="10" t="n"/>
      <c r="AI112" s="10" t="inlineStr">
        <is>
          <t>Personas ocupadas; no confundir miembros del órgano con empleados</t>
        </is>
      </c>
      <c r="AJ112" s="10" t="inlineStr">
        <is>
          <t>Sin cifra individual verificada en esta revisión</t>
        </is>
      </c>
      <c r="AK112" s="10" t="n"/>
      <c r="AL112" s="12" t="n"/>
      <c r="AM112" s="10" t="n"/>
      <c r="AN112" s="10" t="n"/>
      <c r="AO112" s="10" t="inlineStr">
        <is>
          <t>Sin crédito de personal individual verificado</t>
        </is>
      </c>
      <c r="AP112" s="10" t="n"/>
      <c r="AQ112" s="12" t="n"/>
      <c r="AR112" s="10" t="n"/>
      <c r="AS112" s="10" t="n"/>
      <c r="AT112" s="10" t="n"/>
      <c r="AU112" s="10" t="n"/>
      <c r="AV112" s="10" t="inlineStr">
        <is>
          <t>Sin ejecución individual verificada</t>
        </is>
      </c>
      <c r="AW112" s="10" t="inlineStr">
        <is>
          <t>Presupuesto propio2026 verificado; personal ocupado y gasto de personal no verificados.</t>
        </is>
      </c>
      <c r="AX112" s="14" t="n"/>
      <c r="AY112" s="14" t="n"/>
      <c r="AZ112" s="14" t="n"/>
      <c r="BA112" s="14" t="n"/>
      <c r="BB112" s="14" t="n"/>
      <c r="BC112" s="10" t="inlineStr">
        <is>
          <t>Revisado: ASPIB competencias saludpública</t>
        </is>
      </c>
      <c r="BD112" s="10" t="inlineStr">
        <is>
          <t>Art19: políticasactivas, directrices sanitarias, crisis, información y análisis; no informelegislativo general en estascompetencias.</t>
        </is>
      </c>
      <c r="BE112" s="10" t="inlineStr">
        <is>
          <t>No veto parlamentario ni consentimiento favorable general establecido en las cláusulas revisadas.</t>
        </is>
      </c>
      <c r="BF112" s="10" t="inlineStr">
        <is>
          <t>Alcance limitado a norma y atribuciones citadas; no descarta reglas sectoriales adicionales.</t>
        </is>
      </c>
      <c r="BG112" s="10" t="inlineStr">
        <is>
          <t>Ley16/2010 art19 consolidado(reintroducción2021)</t>
        </is>
      </c>
      <c r="BH112" s="10" t="inlineStr">
        <is>
          <t>https://www.boe.es/buscar/act.php?id=BOE-A-2011-2108</t>
        </is>
      </c>
      <c r="BI112" s="12" t="n"/>
      <c r="BJ112" s="12" t="n"/>
      <c r="BK112" s="12" t="n"/>
      <c r="BL112" s="12" t="n"/>
      <c r="BM112" s="10" t="n"/>
      <c r="BN112" s="10" t="n"/>
      <c r="BO112" s="12" t="n"/>
      <c r="BP112" s="12" t="n"/>
      <c r="BQ112" s="12" t="n"/>
      <c r="BR112" s="12" t="n"/>
      <c r="BS112" s="12" t="n"/>
      <c r="BT112" s="12" t="n"/>
      <c r="BU112" s="12" t="n"/>
      <c r="BV112" s="27" t="inlineStr">
        <is>
          <t>No útil</t>
        </is>
      </c>
      <c r="BW112" s="27" t="inlineStr">
        <is>
          <t>Integrar</t>
        </is>
      </c>
      <c r="BX112" s="27" t="inlineStr">
        <is>
          <t>Servicio público directo</t>
        </is>
      </c>
      <c r="BY112" s="27" t="inlineStr">
        <is>
          <t>Paralelo a AESAP: cada nivel actúa con sus propios fondos o competencias. 5 organismos sobre este tema entre el Estado y las CCAA (verificados).</t>
        </is>
      </c>
      <c r="BZ112" s="27" t="inlineStr">
        <is>
          <t>No</t>
        </is>
      </c>
      <c r="CA112" s="27" t="inlineStr">
        <is>
          <t>No acreditada</t>
        </is>
      </c>
      <c r="CB112" s="27" t="inlineStr">
        <is>
          <t>Agencia balear de salud pública sin capítulo de personal propio y con funcionamiento no confirmado.</t>
        </is>
      </c>
      <c r="CC112" s="27" t="inlineStr">
        <is>
          <t>Aplicando el criterio del P100: Costes del Estado 9 (aplicado a las CCAA)</t>
        </is>
      </c>
      <c r="CD112" s="27" t="inlineStr">
        <is>
          <t>Consejería de Sanidad de la comunidad autónoma</t>
        </is>
      </c>
      <c r="CE112" s="27" t="inlineStr">
        <is>
          <t>Agencias de salud pública</t>
        </is>
      </c>
      <c r="CF112" s="28" t="n">
        <v>5</v>
      </c>
      <c r="CG112" s="12" t="n"/>
      <c r="CH112" s="29">
        <f>IF(AND(ISNUMBER(BP112),ISNUMBER(AG112),AG112&gt;0),BP112*1000000/AG112,"")</f>
        <v/>
      </c>
      <c r="CI112" s="12" t="n"/>
      <c r="CJ112" s="12" t="n"/>
      <c r="CK112" s="12" t="n"/>
      <c r="CL112" s="12" t="n"/>
      <c r="CM112" s="12" t="n"/>
      <c r="CN112" s="12" t="n"/>
      <c r="CO112" s="12" t="n"/>
      <c r="CP112" s="12" t="n"/>
      <c r="CQ112" s="12" t="n"/>
      <c r="CR112" s="12" t="n"/>
      <c r="CS112" s="12" t="n"/>
    </row>
    <row r="113">
      <c r="A113" s="10" t="n">
        <v>112</v>
      </c>
      <c r="B113" s="10" t="inlineStr">
        <is>
          <t>Autonómico</t>
        </is>
      </c>
      <c r="C113" s="10" t="inlineStr">
        <is>
          <t>Asturias</t>
        </is>
      </c>
      <c r="D113" s="10" t="inlineStr">
        <is>
          <t>Sánchez</t>
        </is>
      </c>
      <c r="E113" s="10" t="inlineStr">
        <is>
          <t>Agencia de Ciencia, Competitividad Empresarial e Innovación (SCEI) del Principado de Asturias</t>
        </is>
      </c>
      <c r="F113" s="10" t="inlineStr">
        <is>
          <t>Creación nueva (integra funciones del IDEPA y otros)</t>
        </is>
      </c>
      <c r="G113" s="10" t="inlineStr">
        <is>
          <t>2022-11-30</t>
        </is>
      </c>
      <c r="H113" s="10" t="inlineStr">
        <is>
          <t>Ley 9/2022, de 30 de noviembre</t>
        </is>
      </c>
      <c r="I113" s="10" t="inlineStr">
        <is>
          <t>Ciencia, competitividad empresarial e innovación</t>
        </is>
      </c>
      <c r="J113" s="10" t="inlineStr">
        <is>
          <t>Juicio de capacidad legal: Ciencia, competitividad empresarial e innovación. Las funciones legales no acreditan por sí solas actividad, eficacia o dotación efectiva.</t>
        </is>
      </c>
      <c r="K113" s="11" t="n"/>
      <c r="L113" s="10" t="n"/>
      <c r="M113" s="10" t="n"/>
      <c r="N113" s="10" t="n"/>
      <c r="O113" s="10" t="inlineStr">
        <is>
          <t>Sin cifra propia actual verificada</t>
        </is>
      </c>
      <c r="P113" s="12" t="n"/>
      <c r="Q113" s="12" t="n"/>
      <c r="R113" s="10" t="inlineStr">
        <is>
          <t>Sin cifra propia actual 2026 verificada; no significa cero. No atribuir presupuesto del departamento.</t>
        </is>
      </c>
      <c r="S113" s="10" t="inlineStr">
        <is>
          <t>2026 presupuesto inicial; revisión 11/10/2026</t>
        </is>
      </c>
      <c r="T113" s="10" t="inlineStr">
        <is>
          <t>Creación o transformación legal verificada. Estado operativo a 11/10/2026 no confirmado de forma independiente en esta revisión; inscripción registral comunicada por el lote no sustituye la comprobación de actividad.</t>
        </is>
      </c>
      <c r="U113" s="10" t="inlineStr">
        <is>
          <t>Capacidad legal y eficacia práctica son distintas. Estado 2026 y plantilla ocupada no auditados salvo evidencia expresamente señalada. Fecha registral distinta de creación legal.</t>
        </is>
      </c>
      <c r="V113" s="10" t="inlineStr">
        <is>
          <t>Ámbito I+D+i próximo; funciones y territorios distintos</t>
        </is>
      </c>
      <c r="W113" s="10" t="inlineStr">
        <is>
          <t>4, 33, 89, 117</t>
        </is>
      </c>
      <c r="X113" s="10" t="inlineStr">
        <is>
          <t>Financiación, investigación o innovación en ámbitos estatales y autonómicos distintos; no equivalencia de programas ni doble financiación demostrada.</t>
        </is>
      </c>
      <c r="Y113" s="10" t="inlineStr">
        <is>
          <t>https://www.boe.es/eli/es/rd/2015/11/27/1067
https://www.igae.pap.hacienda.gob.es/sitios/igae/es-ES/Contabilidad/ContabilidadPublica/CPE/EjecucionPresupuestaria/Documents/ORGANISMOS%2008.%202026.pdf
https://www.aei.gob.es/en/about-aei/plans-aei/Budget
https://www.boe.es/eli/es/rd/2007/12/21/1730/con
https://www.xunta.gal/dog/Publicados/2012/20120127/AnuncioCA04-230112-11332_es.html
https://www.xunta.gal/dog/Publicados/2025/20251231/AnuncioC3B0-231225-0001_es.html
https://boe.es/buscar/doc.php?id=BOE-A-2023-1605
https://www.boe.es/eli/es-cm/l/2020/07/10/4</t>
        </is>
      </c>
      <c r="Z113" s="10" t="inlineStr">
        <is>
          <t>https://boe.es/buscar/doc.php?id=BOE-A-2023-1605</t>
        </is>
      </c>
      <c r="AA113" s="12" t="n"/>
      <c r="AB113" s="10" t="n"/>
      <c r="AC113" s="10" t="n"/>
      <c r="AD113" s="10" t="n"/>
      <c r="AE113" s="13" t="inlineStr">
        <is>
          <t>https://files.instinct.com/q91pr53q4umo-entidades-publicas-poder-y-presupuesto</t>
        </is>
      </c>
      <c r="AF113" s="10" t="inlineStr">
        <is>
          <t>12/10/2026</t>
        </is>
      </c>
      <c r="AG113" s="10" t="n"/>
      <c r="AH113" s="10" t="n"/>
      <c r="AI113" s="10" t="inlineStr">
        <is>
          <t>Personas ocupadas; no confundir miembros del órgano con empleados</t>
        </is>
      </c>
      <c r="AJ113" s="10" t="inlineStr">
        <is>
          <t>Sin cifra individual verificada en esta revisión</t>
        </is>
      </c>
      <c r="AK113" s="10" t="n"/>
      <c r="AL113" s="12" t="n"/>
      <c r="AM113" s="10" t="n"/>
      <c r="AN113" s="10" t="n"/>
      <c r="AO113" s="10" t="inlineStr">
        <is>
          <t>Sin crédito de personal individual verificado</t>
        </is>
      </c>
      <c r="AP113" s="10" t="n"/>
      <c r="AQ113" s="12" t="n"/>
      <c r="AR113" s="10" t="n"/>
      <c r="AS113" s="10" t="n"/>
      <c r="AT113" s="10" t="n"/>
      <c r="AU113" s="10" t="n"/>
      <c r="AV113" s="10" t="inlineStr">
        <is>
          <t>Sin ejecución individual verificada</t>
        </is>
      </c>
      <c r="AW113" s="10" t="inlineStr">
        <is>
          <t>Sin importe individual verificado; vacío no significa cero</t>
        </is>
      </c>
      <c r="AX113" s="14" t="n"/>
      <c r="AY113" s="14" t="n"/>
      <c r="AZ113" s="14" t="n"/>
      <c r="BA113" s="14" t="n"/>
      <c r="BB113" s="14" t="n"/>
      <c r="BC113" s="10" t="inlineStr">
        <is>
          <t>Revisado: SEKUENS: planes y financiación</t>
        </is>
      </c>
      <c r="BD113" s="10" t="inlineStr">
        <is>
          <t>Diseña y evalúa estrategias ciencia/economía; no consentimiento general leyes en art6.</t>
        </is>
      </c>
      <c r="BE113" s="10" t="inlineStr">
        <is>
          <t>No consentimiento favorable ni veto legislativo establecido en las cláusulas revisadas.</t>
        </is>
      </c>
      <c r="BF113" s="10" t="inlineStr">
        <is>
          <t>Revisión limitada a las atribuciones citadas: no descarta trámites sectoriales en otras normas.</t>
        </is>
      </c>
      <c r="BG113" s="10" t="inlineStr">
        <is>
          <t>Ley9/2022 art6</t>
        </is>
      </c>
      <c r="BH113" s="10" t="inlineStr">
        <is>
          <t>https://boe.es/buscar/doc.php?id=BOE-A-2023-1605</t>
        </is>
      </c>
      <c r="BI113" s="12" t="n"/>
      <c r="BJ113" s="12" t="n"/>
      <c r="BK113" s="12" t="n"/>
      <c r="BL113" s="12" t="n"/>
      <c r="BM113" s="10" t="n"/>
      <c r="BN113" s="10" t="n"/>
      <c r="BO113" s="12" t="n"/>
      <c r="BP113" s="12" t="n"/>
      <c r="BQ113" s="12" t="n"/>
      <c r="BR113" s="12" t="n"/>
      <c r="BS113" s="12" t="n"/>
      <c r="BT113" s="12" t="n"/>
      <c r="BU113" s="12" t="n"/>
      <c r="BV113" s="27" t="inlineStr">
        <is>
          <t>No útil</t>
        </is>
      </c>
      <c r="BW113" s="27" t="inlineStr">
        <is>
          <t>Integrar</t>
        </is>
      </c>
      <c r="BX113" s="27" t="inlineStr">
        <is>
          <t>Financiación y ayudas</t>
        </is>
      </c>
      <c r="BY113" s="27" t="inlineStr">
        <is>
          <t>Paralelo a AEI y CDTI: cada nivel actúa con sus propios fondos o competencias. 10 organismos sobre este tema entre el Estado y las CCAA (verificados).</t>
        </is>
      </c>
      <c r="BZ113" s="27" t="inlineStr">
        <is>
          <t>No</t>
        </is>
      </c>
      <c r="CA113" s="27" t="inlineStr">
        <is>
          <t>Parcial</t>
        </is>
      </c>
      <c r="CB113" s="27" t="inlineStr">
        <is>
          <t>Agencia autonómica que financia I+D+i; la AEI y el CDTI ya financian en todo el territorio.</t>
        </is>
      </c>
      <c r="CC113" s="27" t="inlineStr">
        <is>
          <t>Aplicando el criterio del P100: Criterio Extramuros del 12/10/2026</t>
        </is>
      </c>
      <c r="CD113" s="27" t="inlineStr">
        <is>
          <t>Agencia Estatal de Investigación (AEI) y Centro para el Desarrollo Tecnológico y la Innovación (CDTI, E.P.E.); la consejería autonómica para fondos propios</t>
        </is>
      </c>
      <c r="CE113" s="27" t="inlineStr">
        <is>
          <t>Agencias de investigación e innovación</t>
        </is>
      </c>
      <c r="CF113" s="28" t="n">
        <v>10</v>
      </c>
      <c r="CG113" s="12" t="n"/>
      <c r="CH113" s="29">
        <f>IF(AND(ISNUMBER(BP113),ISNUMBER(AG113),AG113&gt;0),BP113*1000000/AG113,"")</f>
        <v/>
      </c>
      <c r="CI113" s="12" t="n"/>
      <c r="CJ113" s="12" t="n"/>
      <c r="CK113" s="12" t="n"/>
      <c r="CL113" s="12" t="n"/>
      <c r="CM113" s="12" t="n"/>
      <c r="CN113" s="12" t="n"/>
      <c r="CO113" s="12" t="n"/>
      <c r="CP113" s="12" t="n"/>
      <c r="CQ113" s="12" t="n"/>
      <c r="CR113" s="12" t="n"/>
      <c r="CS113" s="12" t="n"/>
    </row>
    <row r="114">
      <c r="A114" s="10" t="n">
        <v>113</v>
      </c>
      <c r="B114" s="10" t="inlineStr">
        <is>
          <t>Autonómico</t>
        </is>
      </c>
      <c r="C114" s="10" t="inlineStr">
        <is>
          <t>Asturias</t>
        </is>
      </c>
      <c r="D114" s="10" t="inlineStr">
        <is>
          <t>Sánchez</t>
        </is>
      </c>
      <c r="E114" s="10" t="inlineStr">
        <is>
          <t>Consejo de Transparencia y Buen Gobierno del Principado de Asturias</t>
        </is>
      </c>
      <c r="F114" s="10" t="inlineStr">
        <is>
          <t>Creación nueva (ente público/organismo de control)</t>
        </is>
      </c>
      <c r="G114" s="10" t="inlineStr">
        <is>
          <t>2018-09-14</t>
        </is>
      </c>
      <c r="H114" s="10" t="inlineStr">
        <is>
          <t>Ley 8/2018, de 14 de septiembre, de Transparencia, Buen Gobierno y Grupos de Interés</t>
        </is>
      </c>
      <c r="I114" s="10" t="inlineStr">
        <is>
          <t>Control de transparencia y buen gobierno; regulación de lobbies</t>
        </is>
      </c>
      <c r="J114" s="10" t="inlineStr">
        <is>
          <t>Juicio de capacidad legal: Control de transparencia y buen gobierno; regulación de lobbies. Las funciones legales no acreditan por sí solas actividad, eficacia o dotación efectiva.</t>
        </is>
      </c>
      <c r="K114" s="11" t="n"/>
      <c r="L114" s="10" t="n"/>
      <c r="M114" s="10" t="n"/>
      <c r="N114" s="10" t="n"/>
      <c r="O114" s="10" t="inlineStr">
        <is>
          <t>Sin cifra propia actual verificada</t>
        </is>
      </c>
      <c r="P114" s="12" t="n"/>
      <c r="Q114" s="12" t="n"/>
      <c r="R114" s="10" t="inlineStr">
        <is>
          <t>Sin cifra propia actual 2026 verificada; no significa cero. No atribuir presupuesto del departamento.</t>
        </is>
      </c>
      <c r="S114" s="10" t="inlineStr">
        <is>
          <t>2026 presupuesto inicial; revisión 11/10/2026</t>
        </is>
      </c>
      <c r="T114" s="10" t="inlineStr">
        <is>
          <t>Creación o transformación legal verificada. Estado operativo a 11/10/2026 no confirmado de forma independiente en esta revisión; inscripción registral comunicada por el lote no sustituye la comprobación de actividad.</t>
        </is>
      </c>
      <c r="U114" s="10" t="inlineStr">
        <is>
          <t>Capacidad legal y eficacia práctica son distintas. Estado 2026 y plantilla ocupada no auditados salvo evidencia expresamente señalada. Fecha registral distinta de creación legal.</t>
        </is>
      </c>
      <c r="V114" s="10" t="inlineStr">
        <is>
          <t>No se ha identificado relación en esta revisión (no certifica ausencia)</t>
        </is>
      </c>
      <c r="W114" s="10" t="n"/>
      <c r="X114" s="10" t="inlineStr">
        <is>
          <t>Revisión cualitativa del mandato y estado; no auditoría exhaustiva de proyectos.</t>
        </is>
      </c>
      <c r="Y114" s="10" t="n"/>
      <c r="Z114" s="10" t="inlineStr">
        <is>
          <t>https://www.boe.es/eli/es-as/l/2018/09/14/8/con</t>
        </is>
      </c>
      <c r="AA114" s="12" t="n"/>
      <c r="AB114" s="10" t="n"/>
      <c r="AC114" s="10" t="n"/>
      <c r="AD114" s="10" t="n"/>
      <c r="AE114" s="13" t="inlineStr">
        <is>
          <t>https://files.instinct.com/q91pr53q4umo-entidades-publicas-poder-y-presupuesto</t>
        </is>
      </c>
      <c r="AF114" s="10" t="inlineStr">
        <is>
          <t>12/10/2026</t>
        </is>
      </c>
      <c r="AG114" s="10" t="n"/>
      <c r="AH114" s="10" t="n"/>
      <c r="AI114" s="10" t="inlineStr">
        <is>
          <t>Personas ocupadas; no confundir miembros del órgano con empleados</t>
        </is>
      </c>
      <c r="AJ114" s="10" t="inlineStr">
        <is>
          <t>Sin cifra individual verificada en esta revisión</t>
        </is>
      </c>
      <c r="AK114" s="10" t="n"/>
      <c r="AL114" s="12" t="n"/>
      <c r="AM114" s="10" t="n"/>
      <c r="AN114" s="10" t="n"/>
      <c r="AO114" s="10" t="inlineStr">
        <is>
          <t>Sin crédito de personal individual verificado</t>
        </is>
      </c>
      <c r="AP114" s="10" t="n"/>
      <c r="AQ114" s="12" t="n"/>
      <c r="AR114" s="10" t="n"/>
      <c r="AS114" s="10" t="n"/>
      <c r="AT114" s="10" t="n"/>
      <c r="AU114" s="10" t="n"/>
      <c r="AV114" s="10" t="inlineStr">
        <is>
          <t>Sin ejecución individual verificada</t>
        </is>
      </c>
      <c r="AW114" s="10" t="inlineStr">
        <is>
          <t>Sin importe individual verificado; vacío no significa cero</t>
        </is>
      </c>
      <c r="AX114" s="14" t="n"/>
      <c r="AY114" s="14" t="n"/>
      <c r="AZ114" s="14" t="n"/>
      <c r="BA114" s="14" t="n"/>
      <c r="BB114" s="14" t="n"/>
      <c r="BC114" s="10" t="inlineStr">
        <is>
          <t>Consulta preceptiva sobre proyectos normativos de transparencia y planes estratégicos</t>
        </is>
      </c>
      <c r="BD114" s="10" t="inlineStr">
        <is>
          <t>SÍ: planes estratégicos de transparencia y proyectos normativos que desarrollen la Ley 8/2018 o relacionados con su objeto</t>
        </is>
      </c>
      <c r="BE114" s="10" t="inlineStr">
        <is>
          <t>Art 68(d) exige informe, no consentimiento favorable o veto; efecto vinculante no declarado allí</t>
        </is>
      </c>
      <c r="BF114" s="10" t="inlineStr">
        <is>
          <t>Trámite previo obligatorio en ámbito acotado. No se atribuye veto a leyes parlamentarias por estos artículos; la omisión/demora requiere revisar expediente y procedimiento específico.</t>
        </is>
      </c>
      <c r="BG114" s="10" t="inlineStr">
        <is>
          <t>Ley Asturias 8/2018 arts 7.1,68(d)</t>
        </is>
      </c>
      <c r="BH114" s="10" t="inlineStr">
        <is>
          <t>https://www.boe.es/eli/es-as/l/2018/09/14/8/con</t>
        </is>
      </c>
      <c r="BI114" s="12" t="n"/>
      <c r="BJ114" s="12" t="n"/>
      <c r="BK114" s="12" t="n"/>
      <c r="BL114" s="12" t="n"/>
      <c r="BM114" s="10" t="n"/>
      <c r="BN114" s="10" t="n"/>
      <c r="BO114" s="12" t="n"/>
      <c r="BP114" s="12" t="n"/>
      <c r="BQ114" s="12" t="n"/>
      <c r="BR114" s="12" t="n"/>
      <c r="BS114" s="12" t="n"/>
      <c r="BT114" s="12" t="n"/>
      <c r="BU114" s="12" t="n"/>
      <c r="BV114" s="27" t="inlineStr">
        <is>
          <t>No útil</t>
        </is>
      </c>
      <c r="BW114" s="27" t="inlineStr">
        <is>
          <t>Integrar</t>
        </is>
      </c>
      <c r="BX114" s="27" t="inlineStr">
        <is>
          <t>Control interno y cumplimiento</t>
        </is>
      </c>
      <c r="BY114" s="27" t="inlineStr">
        <is>
          <t>Duplica a CTBG, que ya cubre este territorio o puede hacerlo. 13 organismos sobre este tema entre el Estado y las CCAA (verificados).</t>
        </is>
      </c>
      <c r="BZ114" s="27" t="inlineStr">
        <is>
          <t>No</t>
        </is>
      </c>
      <c r="CA114" s="27" t="inlineStr">
        <is>
          <t>Parcial</t>
        </is>
      </c>
      <c r="CB114" s="27" t="inlineStr">
        <is>
          <t>Consejo asturiano que no funciona: Asturias firmó en 2026 un nuevo convenio con el CTBG.</t>
        </is>
      </c>
      <c r="CC114" s="27" t="inlineStr">
        <is>
          <t>Aplicando el criterio del P100: Criterio Extramuros del 12/10/2026</t>
        </is>
      </c>
      <c r="CD114" s="27" t="inlineStr">
        <is>
          <t>Consejo de Transparencia y Buen Gobierno (CTBG)</t>
        </is>
      </c>
      <c r="CE114" s="27" t="inlineStr">
        <is>
          <t>Consejos de transparencia</t>
        </is>
      </c>
      <c r="CF114" s="28" t="n">
        <v>13</v>
      </c>
      <c r="CG114" s="12" t="n"/>
      <c r="CH114" s="29">
        <f>IF(AND(ISNUMBER(BP114),ISNUMBER(AG114),AG114&gt;0),BP114*1000000/AG114,"")</f>
        <v/>
      </c>
      <c r="CI114" s="12" t="n"/>
      <c r="CJ114" s="12" t="n"/>
      <c r="CK114" s="12" t="n"/>
      <c r="CL114" s="12" t="n"/>
      <c r="CM114" s="12" t="n"/>
      <c r="CN114" s="12" t="n"/>
      <c r="CO114" s="12" t="n"/>
      <c r="CP114" s="12" t="n"/>
      <c r="CQ114" s="12" t="n"/>
      <c r="CR114" s="12" t="n"/>
      <c r="CS114" s="12" t="n"/>
    </row>
    <row r="115">
      <c r="A115" s="10" t="n">
        <v>114</v>
      </c>
      <c r="B115" s="10" t="inlineStr">
        <is>
          <t>Autonómico</t>
        </is>
      </c>
      <c r="C115" s="10" t="inlineStr">
        <is>
          <t>Cantabria</t>
        </is>
      </c>
      <c r="D115" s="10" t="inlineStr">
        <is>
          <t>Sánchez</t>
        </is>
      </c>
      <c r="E115" s="10" t="inlineStr">
        <is>
          <t>Organismo Autónomo Servicio de Emergencias de Cantabria (SEMCA)</t>
        </is>
      </c>
      <c r="F115" s="10" t="inlineStr">
        <is>
          <t>Sucesión de 112 Cantabria,S.A.U.</t>
        </is>
      </c>
      <c r="G115" s="10" t="inlineStr">
        <is>
          <t>2018-11-22</t>
        </is>
      </c>
      <c r="H115" s="10" t="inlineStr">
        <is>
          <t>Ley 6/2018, de 22 de noviembre</t>
        </is>
      </c>
      <c r="I115" s="10" t="inlineStr">
        <is>
          <t>Gestión de emergencias 112 de Cantabria</t>
        </is>
      </c>
      <c r="J115" s="10" t="inlineStr">
        <is>
          <t>Juicio de capacidad legal: Gestión de emergencias 112 de Cantabria. Las funciones legales no acreditan por sí solas actividad, eficacia o dotación efectiva.</t>
        </is>
      </c>
      <c r="K115" s="11" t="n"/>
      <c r="L115" s="10" t="n"/>
      <c r="M115" s="10" t="n"/>
      <c r="N115" s="10" t="n"/>
      <c r="O115" s="10" t="inlineStr">
        <is>
          <t>Sin cifra propia actual verificada</t>
        </is>
      </c>
      <c r="P115" s="12" t="n"/>
      <c r="Q115" s="12" t="n"/>
      <c r="R115" s="10" t="inlineStr">
        <is>
          <t>Sin cifra propia actual 2026 verificada; no significa cero. No atribuir presupuesto del departamento.</t>
        </is>
      </c>
      <c r="S115" s="10" t="inlineStr">
        <is>
          <t>2026 presupuesto inicial; revisión 11/10/2026</t>
        </is>
      </c>
      <c r="T115" s="10" t="inlineStr">
        <is>
          <t>Creación o transformación legal verificada. Estado operativo a 11/10/2026 no confirmado de forma independiente en esta revisión; inscripción registral comunicada por el lote no sustituye la comprobación de actividad.</t>
        </is>
      </c>
      <c r="U115" s="10" t="inlineStr">
        <is>
          <t>Capacidad legal y eficacia práctica son distintas. Estado 2026 y plantilla ocupada no auditados salvo evidencia expresamente señalada. Fecha registral distinta de creación legal.</t>
        </is>
      </c>
      <c r="V115" s="10" t="inlineStr">
        <is>
          <t>No se ha identificado relación en esta revisión (no certifica ausencia)</t>
        </is>
      </c>
      <c r="W115" s="10" t="n"/>
      <c r="X115" s="10" t="inlineStr">
        <is>
          <t>Revisión cualitativa del mandato y estado; no auditoría exhaustiva de proyectos.</t>
        </is>
      </c>
      <c r="Y115" s="10" t="n"/>
      <c r="Z115" s="10" t="inlineStr">
        <is>
          <t>https://www.boe.es/eli/es-cb/l/2018/11/22/6/con</t>
        </is>
      </c>
      <c r="AA115" s="12" t="n"/>
      <c r="AB115" s="10" t="n"/>
      <c r="AC115" s="10" t="n"/>
      <c r="AD115" s="10" t="n"/>
      <c r="AE115" s="13" t="inlineStr">
        <is>
          <t>https://files.instinct.com/q91pr53q4umo-entidades-publicas-poder-y-presupuesto</t>
        </is>
      </c>
      <c r="AF115" s="10" t="inlineStr">
        <is>
          <t>12/10/2026</t>
        </is>
      </c>
      <c r="AG115" s="10" t="n"/>
      <c r="AH115" s="10" t="n"/>
      <c r="AI115" s="10" t="inlineStr">
        <is>
          <t>Personas ocupadas; no confundir miembros del órgano con empleados</t>
        </is>
      </c>
      <c r="AJ115" s="10" t="inlineStr">
        <is>
          <t>Sin cifra individual verificada en esta revisión</t>
        </is>
      </c>
      <c r="AK115" s="10" t="n"/>
      <c r="AL115" s="12" t="n"/>
      <c r="AM115" s="10" t="n"/>
      <c r="AN115" s="10" t="n"/>
      <c r="AO115" s="10" t="inlineStr">
        <is>
          <t>Sin crédito de personal individual verificado</t>
        </is>
      </c>
      <c r="AP115" s="10" t="n"/>
      <c r="AQ115" s="12" t="n"/>
      <c r="AR115" s="10" t="n"/>
      <c r="AS115" s="10" t="n"/>
      <c r="AT115" s="10" t="n"/>
      <c r="AU115" s="10" t="n"/>
      <c r="AV115" s="10" t="inlineStr">
        <is>
          <t>Sin ejecución individual verificada</t>
        </is>
      </c>
      <c r="AW115" s="10" t="inlineStr">
        <is>
          <t>Sin importe individual verificado; vacío no significa cero</t>
        </is>
      </c>
      <c r="AX115" s="14" t="n"/>
      <c r="AY115" s="14" t="n"/>
      <c r="AZ115" s="14" t="n"/>
      <c r="BA115" s="14" t="n"/>
      <c r="BB115" s="14" t="n"/>
      <c r="BC115" s="10" t="inlineStr">
        <is>
          <t>Revisado: SEMCA: propuestas reglamentarias</t>
        </is>
      </c>
      <c r="BD115" s="10" t="inlineStr">
        <is>
          <t>ConsejoRector propone disposicionesgenerales e informa tasas/precios propios. No consentimiento legislativo general.</t>
        </is>
      </c>
      <c r="BE115" s="10" t="inlineStr">
        <is>
          <t>No consentimiento favorable ni veto legislativo establecido en las cláusulas revisadas.</t>
        </is>
      </c>
      <c r="BF115" s="10" t="inlineStr">
        <is>
          <t>Revisión limitada a las atribuciones citadas: no descarta trámites sectoriales en otras normas.</t>
        </is>
      </c>
      <c r="BG115" s="10" t="inlineStr">
        <is>
          <t>Ley6/2018 art6.2d,i</t>
        </is>
      </c>
      <c r="BH115" s="10" t="inlineStr">
        <is>
          <t>https://www.boe.es/eli/es-cb/l/2018/11/22/6/con</t>
        </is>
      </c>
      <c r="BI115" s="12" t="n"/>
      <c r="BJ115" s="12" t="n"/>
      <c r="BK115" s="12" t="n"/>
      <c r="BL115" s="12" t="n"/>
      <c r="BM115" s="10" t="n"/>
      <c r="BN115" s="10" t="n"/>
      <c r="BO115" s="12" t="n"/>
      <c r="BP115" s="12" t="n"/>
      <c r="BQ115" s="12" t="n"/>
      <c r="BR115" s="12" t="n"/>
      <c r="BS115" s="12" t="n"/>
      <c r="BT115" s="12" t="n"/>
      <c r="BU115" s="12" t="n"/>
      <c r="BV115" s="27" t="inlineStr">
        <is>
          <t>Útil</t>
        </is>
      </c>
      <c r="BW115" s="27" t="inlineStr">
        <is>
          <t>Mantener</t>
        </is>
      </c>
      <c r="BX115" s="27" t="inlineStr">
        <is>
          <t>Servicio público directo</t>
        </is>
      </c>
      <c r="BY115" s="27" t="inlineStr">
        <is>
          <t>Competencia autonómica que el Estado no presta en ese territorio; la duplicidad es de forma (agencia propia o dirección general). 9 organismos sobre este tema entre el Estado y las CCAA (verificados).</t>
        </is>
      </c>
      <c r="BZ115" s="27" t="inlineStr">
        <is>
          <t>No</t>
        </is>
      </c>
      <c r="CA115" s="27" t="inlineStr">
        <is>
          <t>Parcial</t>
        </is>
      </c>
      <c r="CB115" s="27"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c r="CC115" s="27" t="inlineStr">
        <is>
          <t>Aplicando el criterio del P100: Servicio directo que el Estado no presta</t>
        </is>
      </c>
      <c r="CD115" s="12" t="n"/>
      <c r="CE115" s="27" t="inlineStr">
        <is>
          <t>Entes de emergencias 112</t>
        </is>
      </c>
      <c r="CF115" s="28" t="n">
        <v>9</v>
      </c>
      <c r="CG115" s="12" t="n"/>
      <c r="CH115" s="29">
        <f>IF(AND(ISNUMBER(BP115),ISNUMBER(AG115),AG115&gt;0),BP115*1000000/AG115,"")</f>
        <v/>
      </c>
      <c r="CI115" s="12" t="n"/>
      <c r="CJ115" s="12" t="n"/>
      <c r="CK115" s="12" t="n"/>
      <c r="CL115" s="12" t="n"/>
      <c r="CM115" s="12" t="n"/>
      <c r="CN115" s="12" t="n"/>
      <c r="CO115" s="12" t="n"/>
      <c r="CP115" s="12" t="n"/>
      <c r="CQ115" s="12" t="n"/>
      <c r="CR115" s="12" t="n"/>
      <c r="CS115" s="12" t="n"/>
    </row>
    <row r="116">
      <c r="A116" s="10" t="n">
        <v>115</v>
      </c>
      <c r="B116" s="10" t="inlineStr">
        <is>
          <t>Autonómico</t>
        </is>
      </c>
      <c r="C116" s="10" t="inlineStr">
        <is>
          <t>Cantabria</t>
        </is>
      </c>
      <c r="D116" s="10" t="inlineStr">
        <is>
          <t>Sánchez</t>
        </is>
      </c>
      <c r="E116" s="10" t="inlineStr">
        <is>
          <t>Consejo de la Juventud de Cantabria</t>
        </is>
      </c>
      <c r="F116" s="10" t="inlineStr">
        <is>
          <t>Creación nueva (ente público participativo)</t>
        </is>
      </c>
      <c r="G116" s="10" t="inlineStr">
        <is>
          <t>2019-02-14</t>
        </is>
      </c>
      <c r="H116" s="10" t="inlineStr">
        <is>
          <t>Ley 1/2019, de 14 de febrero</t>
        </is>
      </c>
      <c r="I116" s="10" t="inlineStr">
        <is>
          <t>Representación de la juventud ante la administración</t>
        </is>
      </c>
      <c r="J116" s="10" t="inlineStr">
        <is>
          <t>Juicio de capacidad legal: Representación de la juventud ante la administración. Las funciones legales no acreditan por sí solas actividad, eficacia o dotación efectiva.</t>
        </is>
      </c>
      <c r="K116" s="11" t="n"/>
      <c r="L116" s="10" t="n"/>
      <c r="M116" s="10" t="n"/>
      <c r="N116" s="10" t="n"/>
      <c r="O116" s="10" t="inlineStr">
        <is>
          <t>Sin cifra propia actual verificada</t>
        </is>
      </c>
      <c r="P116" s="12" t="n"/>
      <c r="Q116" s="12" t="n"/>
      <c r="R116" s="10" t="inlineStr">
        <is>
          <t>Sin cifra propia actual 2026 verificada; no significa cero. No atribuir presupuesto del departamento.</t>
        </is>
      </c>
      <c r="S116" s="10" t="inlineStr">
        <is>
          <t>2026 presupuesto inicial; revisión 11/10/2026</t>
        </is>
      </c>
      <c r="T116" s="10" t="inlineStr">
        <is>
          <t>Creación o transformación legal verificada. Estado operativo a 11/10/2026 no confirmado de forma independiente en esta revisión; inscripción registral comunicada por el lote no sustituye la comprobación de actividad.</t>
        </is>
      </c>
      <c r="U116" s="10" t="inlineStr">
        <is>
          <t>Capacidad legal y eficacia práctica son distintas. Estado 2026 y plantilla ocupada no auditados salvo evidencia expresamente señalada. Fecha registral distinta de creación legal.</t>
        </is>
      </c>
      <c r="V116" s="10" t="inlineStr">
        <is>
          <t>No se ha identificado relación en esta revisión (no certifica ausencia)</t>
        </is>
      </c>
      <c r="W116" s="10" t="n"/>
      <c r="X116" s="10" t="inlineStr">
        <is>
          <t>Revisión cualitativa del mandato y estado; no auditoría exhaustiva de proyectos.</t>
        </is>
      </c>
      <c r="Y116" s="10" t="n"/>
      <c r="Z116" s="10" t="inlineStr">
        <is>
          <t>https://www.boe.es/buscar/act.php?id=BOE-A-2019-3488</t>
        </is>
      </c>
      <c r="AA116" s="12" t="n"/>
      <c r="AB116" s="10" t="n"/>
      <c r="AC116" s="10" t="n"/>
      <c r="AD116" s="10" t="n"/>
      <c r="AE116" s="13" t="inlineStr">
        <is>
          <t>https://files.instinct.com/q91pr53q4umo-entidades-publicas-poder-y-presupuesto</t>
        </is>
      </c>
      <c r="AF116" s="10" t="inlineStr">
        <is>
          <t>12/10/2026</t>
        </is>
      </c>
      <c r="AG116" s="10" t="n"/>
      <c r="AH116" s="10" t="n"/>
      <c r="AI116" s="10" t="inlineStr">
        <is>
          <t>Personas ocupadas; no confundir miembros del órgano con empleados</t>
        </is>
      </c>
      <c r="AJ116" s="10" t="inlineStr">
        <is>
          <t>Sin cifra individual verificada en esta revisión</t>
        </is>
      </c>
      <c r="AK116" s="10" t="n"/>
      <c r="AL116" s="12" t="n"/>
      <c r="AM116" s="10" t="n"/>
      <c r="AN116" s="10" t="n"/>
      <c r="AO116" s="10" t="inlineStr">
        <is>
          <t>Sin crédito de personal individual verificado</t>
        </is>
      </c>
      <c r="AP116" s="10" t="n"/>
      <c r="AQ116" s="12" t="n"/>
      <c r="AR116" s="10" t="n"/>
      <c r="AS116" s="10" t="n"/>
      <c r="AT116" s="10" t="n"/>
      <c r="AU116" s="10" t="n"/>
      <c r="AV116" s="10" t="inlineStr">
        <is>
          <t>Sin ejecución individual verificada</t>
        </is>
      </c>
      <c r="AW116" s="10" t="inlineStr">
        <is>
          <t>Sin importe individual verificado; vacío no significa cero</t>
        </is>
      </c>
      <c r="AX116" s="14" t="n"/>
      <c r="AY116" s="14" t="n"/>
      <c r="AZ116" s="14" t="n"/>
      <c r="BA116" s="14" t="n"/>
      <c r="BB116" s="14" t="n"/>
      <c r="BC116" s="10" t="inlineStr">
        <is>
          <t>Funciones consultivas revisadas: Estudios e informes por iniciativa propia o petición administrativa</t>
        </is>
      </c>
      <c r="BD116" s="10" t="inlineStr">
        <is>
          <t>No trámite obligatorio general de aprobación de leyes identificado en las funciones revisadas</t>
        </is>
      </c>
      <c r="BE116" s="10" t="inlineStr">
        <is>
          <t>No consentimiento favorable obligatorio o vinculación identificado en dichas funciones</t>
        </is>
      </c>
      <c r="BF116" s="10" t="inlineStr">
        <is>
          <t>No veto legal a aprobación de leyes atribuido por las funciones revisadas. Alcance limitado a norma revisada, no certificación de ausencia de cualquier norma sectorial posterior.</t>
        </is>
      </c>
      <c r="BG116" s="10" t="inlineStr">
        <is>
          <t>LeyCantabria 1/2019 arts 3(b),12.4(g)</t>
        </is>
      </c>
      <c r="BH116" s="10" t="inlineStr">
        <is>
          <t>https://www.boe.es/buscar/doc.php?id=BOE-A-2019-3488</t>
        </is>
      </c>
      <c r="BI116" s="12" t="n"/>
      <c r="BJ116" s="12" t="n"/>
      <c r="BK116" s="12" t="n"/>
      <c r="BL116" s="12" t="n"/>
      <c r="BM116" s="10" t="n"/>
      <c r="BN116" s="10" t="n"/>
      <c r="BO116" s="12" t="n"/>
      <c r="BP116" s="12" t="n"/>
      <c r="BQ116" s="12" t="n"/>
      <c r="BR116" s="12" t="n"/>
      <c r="BS116" s="12" t="n"/>
      <c r="BT116" s="12" t="n"/>
      <c r="BU116" s="12" t="n"/>
      <c r="BV116" s="27" t="inlineStr">
        <is>
          <t>No útil</t>
        </is>
      </c>
      <c r="BW116" s="27" t="inlineStr">
        <is>
          <t>Suprimir</t>
        </is>
      </c>
      <c r="BX116" s="27" t="inlineStr">
        <is>
          <t>Consultivo o participación</t>
        </is>
      </c>
      <c r="BY116" s="27" t="inlineStr">
        <is>
          <t>Paralelo a Consejo de la Juventud de España: cada nivel actúa con sus propios fondos o competencias. 12 organismos sobre este tema entre el Estado y las CCAA (verificados).</t>
        </is>
      </c>
      <c r="BZ116" s="27" t="inlineStr">
        <is>
          <t>No</t>
        </is>
      </c>
      <c r="CA116" s="27" t="inlineStr">
        <is>
          <t>No acreditada</t>
        </is>
      </c>
      <c r="CB116" s="27" t="inlineStr">
        <is>
          <t>Órgano de representación juvenil: el P100 no financia entidades por existir.</t>
        </is>
      </c>
      <c r="CC116" s="27" t="inlineStr">
        <is>
          <t>Aplicando el criterio del P100: Costes del Estado 2 y 3 (aplicados a las CCAA)</t>
        </is>
      </c>
      <c r="CD116" s="12" t="n"/>
      <c r="CE116" s="27" t="inlineStr">
        <is>
          <t>Consejos de la juventud</t>
        </is>
      </c>
      <c r="CF116" s="28" t="n">
        <v>12</v>
      </c>
      <c r="CG116" s="27" t="inlineStr">
        <is>
          <t>Apoyo: Consejería competente en Juventud del Gobierno de Cantabria, que debe aportar medios «materiales, técnicos, económicos y humanos» (art. 19.2 Ley 1/2019) y apoyo técnico en contratación (art. 23).</t>
        </is>
      </c>
      <c r="CH116" s="29">
        <f>IF(AND(ISNUMBER(BP116),ISNUMBER(AG116),AG116&gt;0),BP116*1000000/AG116,"")</f>
        <v/>
      </c>
      <c r="CI116" s="12" t="n"/>
      <c r="CJ116" s="12" t="n"/>
      <c r="CK116" s="12" t="n"/>
      <c r="CL116" s="12" t="n"/>
      <c r="CM116" s="12" t="n"/>
      <c r="CN116" s="12" t="n"/>
      <c r="CO116" s="12" t="n"/>
      <c r="CP116" s="12" t="n"/>
      <c r="CQ116" s="12" t="n"/>
      <c r="CR116" s="12" t="n"/>
      <c r="CS116" s="12" t="n"/>
    </row>
    <row r="117">
      <c r="A117" s="10" t="n">
        <v>116</v>
      </c>
      <c r="B117" s="10" t="inlineStr">
        <is>
          <t>Autonómico</t>
        </is>
      </c>
      <c r="C117" s="10" t="inlineStr">
        <is>
          <t>Cantabria</t>
        </is>
      </c>
      <c r="D117" s="10" t="inlineStr">
        <is>
          <t>Sánchez</t>
        </is>
      </c>
      <c r="E117" s="10" t="inlineStr">
        <is>
          <t>Instituto Cántabro de Administración Pública 'Rafael de la Sierra' (ICAP)</t>
        </is>
      </c>
      <c r="F117" s="10" t="inlineStr">
        <is>
          <t>Nueva forma jurídica sobre Centro de Estudios y funciones formativas previas</t>
        </is>
      </c>
      <c r="G117" s="10" t="inlineStr">
        <is>
          <t>2022-11-03</t>
        </is>
      </c>
      <c r="H117" s="10" t="inlineStr">
        <is>
          <t>Ley 7/2022, de 3 de noviembre</t>
        </is>
      </c>
      <c r="I117" s="10" t="inlineStr">
        <is>
          <t>Formación y estudios de la administración cántabra</t>
        </is>
      </c>
      <c r="J117" s="10" t="inlineStr">
        <is>
          <t>Juicio de capacidad legal: Formación y estudios de la administración cántabra. Las funciones legales no acreditan por sí solas actividad, eficacia o dotación efectiva.</t>
        </is>
      </c>
      <c r="K117" s="11" t="n"/>
      <c r="L117" s="10" t="n"/>
      <c r="M117" s="10" t="n"/>
      <c r="N117" s="10" t="n"/>
      <c r="O117" s="10" t="inlineStr">
        <is>
          <t>Sin cifra propia actual verificada</t>
        </is>
      </c>
      <c r="P117" s="12" t="n"/>
      <c r="Q117" s="12" t="n"/>
      <c r="R117" s="10" t="inlineStr">
        <is>
          <t>Sin cifra propia actual 2026 verificada; no significa cero. No atribuir presupuesto del departamento.</t>
        </is>
      </c>
      <c r="S117" s="10" t="inlineStr">
        <is>
          <t>2026 presupuesto inicial; revisión 11/10/2026</t>
        </is>
      </c>
      <c r="T117" s="10" t="inlineStr">
        <is>
          <t>Creación o transformación legal verificada. Estado operativo a 11/10/2026 no confirmado de forma independiente en esta revisión; inscripción registral comunicada por el lote no sustituye la comprobación de actividad.</t>
        </is>
      </c>
      <c r="U117" s="10" t="inlineStr">
        <is>
          <t>Capacidad legal y eficacia práctica son distintas. Estado 2026 y plantilla ocupada no auditados salvo evidencia expresamente señalada. Fecha registral distinta de creación legal.</t>
        </is>
      </c>
      <c r="V117" s="10" t="inlineStr">
        <is>
          <t>No se ha identificado relación en esta revisión (no certifica ausencia)</t>
        </is>
      </c>
      <c r="W117" s="10" t="n"/>
      <c r="X117" s="10" t="inlineStr">
        <is>
          <t>Revisión cualitativa del mandato y estado; no auditoría exhaustiva de proyectos.</t>
        </is>
      </c>
      <c r="Y117" s="10" t="n"/>
      <c r="Z117" s="10" t="inlineStr">
        <is>
          <t>https://www.boe.es/buscar/act.php?id=BOE-A-2022-20715</t>
        </is>
      </c>
      <c r="AA117" s="12" t="n"/>
      <c r="AB117" s="10" t="n"/>
      <c r="AC117" s="10" t="n"/>
      <c r="AD117" s="10" t="n"/>
      <c r="AE117" s="13" t="inlineStr">
        <is>
          <t>https://files.instinct.com/q91pr53q4umo-entidades-publicas-poder-y-presupuesto</t>
        </is>
      </c>
      <c r="AF117" s="10" t="inlineStr">
        <is>
          <t>12/10/2026</t>
        </is>
      </c>
      <c r="AG117" s="10" t="n"/>
      <c r="AH117" s="10" t="n"/>
      <c r="AI117" s="10" t="inlineStr">
        <is>
          <t>Personas ocupadas; no confundir miembros del órgano con empleados</t>
        </is>
      </c>
      <c r="AJ117" s="10" t="inlineStr">
        <is>
          <t>Sin cifra individual verificada en esta revisión</t>
        </is>
      </c>
      <c r="AK117" s="10" t="n"/>
      <c r="AL117" s="12" t="n"/>
      <c r="AM117" s="10" t="n"/>
      <c r="AN117" s="10" t="n"/>
      <c r="AO117" s="10" t="inlineStr">
        <is>
          <t>Sin crédito de personal individual verificado</t>
        </is>
      </c>
      <c r="AP117" s="10" t="n"/>
      <c r="AQ117" s="12" t="n"/>
      <c r="AR117" s="10" t="n"/>
      <c r="AS117" s="10" t="n"/>
      <c r="AT117" s="10" t="n"/>
      <c r="AU117" s="10" t="n"/>
      <c r="AV117" s="10" t="inlineStr">
        <is>
          <t>Sin ejecución individual verificada</t>
        </is>
      </c>
      <c r="AW117" s="10" t="inlineStr">
        <is>
          <t>Sin importe individual verificado; vacío no significa cero</t>
        </is>
      </c>
      <c r="AX117" s="14" t="n"/>
      <c r="AY117" s="14" t="n"/>
      <c r="AZ117" s="14" t="n"/>
      <c r="BA117" s="14" t="n"/>
      <c r="BB117" s="14" t="n"/>
      <c r="BC117" s="10" t="inlineStr">
        <is>
          <t>Revisado: ICAP: formación y estudios</t>
        </is>
      </c>
      <c r="BD117" s="10" t="inlineStr">
        <is>
          <t>Investigación/formación/colaboración funciónpública, no consulta legislativa general en fines.</t>
        </is>
      </c>
      <c r="BE117" s="10" t="inlineStr">
        <is>
          <t>No consentimiento favorable ni veto legislativo establecido en las cláusulas revisadas.</t>
        </is>
      </c>
      <c r="BF117" s="10" t="inlineStr">
        <is>
          <t>Revisión limitada a las atribuciones citadas: no descarta trámites sectoriales en otras normas.</t>
        </is>
      </c>
      <c r="BG117" s="10" t="inlineStr">
        <is>
          <t>Ley7/2022 art2</t>
        </is>
      </c>
      <c r="BH117" s="10" t="inlineStr">
        <is>
          <t>https://www.boe.es/buscar/act.php?id=BOE-A-2022-20715</t>
        </is>
      </c>
      <c r="BI117" s="12" t="n"/>
      <c r="BJ117" s="12" t="n"/>
      <c r="BK117" s="12" t="n"/>
      <c r="BL117" s="12" t="n"/>
      <c r="BM117" s="10" t="n"/>
      <c r="BN117" s="10" t="n"/>
      <c r="BO117" s="12" t="n"/>
      <c r="BP117" s="12" t="n"/>
      <c r="BQ117" s="12" t="n"/>
      <c r="BR117" s="12" t="n"/>
      <c r="BS117" s="12" t="n"/>
      <c r="BT117" s="12" t="n"/>
      <c r="BU117" s="12" t="n"/>
      <c r="BV117" s="27" t="inlineStr">
        <is>
          <t>No útil</t>
        </is>
      </c>
      <c r="BW117" s="27" t="inlineStr">
        <is>
          <t>Integrar</t>
        </is>
      </c>
      <c r="BX117" s="27" t="inlineStr">
        <is>
          <t>Servicio público directo</t>
        </is>
      </c>
      <c r="BY117" s="27" t="inlineStr">
        <is>
          <t>Competencia autonómica que el Estado no presta en ese territorio; la duplicidad es de forma (agencia propia o dirección general). 13 organismos sobre este tema entre el Estado y las CCAA (verificados).</t>
        </is>
      </c>
      <c r="BZ117" s="27" t="inlineStr">
        <is>
          <t>No</t>
        </is>
      </c>
      <c r="CA117" s="27" t="inlineStr">
        <is>
          <t>Parcial</t>
        </is>
      </c>
      <c r="CB117" s="27" t="inlineStr">
        <is>
          <t>Formación de funcionarios autonómicos: servicio interno que no exige una entidad propia.</t>
        </is>
      </c>
      <c r="CC117" s="27" t="inlineStr">
        <is>
          <t>Aplicando el criterio del P100: Costes del Estado 9 (aplicado a las CCAA)</t>
        </is>
      </c>
      <c r="CD117" s="27" t="inlineStr">
        <is>
          <t>Consejería autonómica competente</t>
        </is>
      </c>
      <c r="CE117" s="27" t="inlineStr">
        <is>
          <t>Escuelas e institutos de formación de empleados públicos</t>
        </is>
      </c>
      <c r="CF117" s="28" t="n">
        <v>13</v>
      </c>
      <c r="CG117" s="12" t="n"/>
      <c r="CH117" s="29">
        <f>IF(AND(ISNUMBER(BP117),ISNUMBER(AG117),AG117&gt;0),BP117*1000000/AG117,"")</f>
        <v/>
      </c>
      <c r="CI117" s="12" t="n"/>
      <c r="CJ117" s="12" t="n"/>
      <c r="CK117" s="12" t="n"/>
      <c r="CL117" s="12" t="n"/>
      <c r="CM117" s="12" t="n"/>
      <c r="CN117" s="12" t="n"/>
      <c r="CO117" s="12" t="n"/>
      <c r="CP117" s="12" t="n"/>
      <c r="CQ117" s="12" t="n"/>
      <c r="CR117" s="12" t="n"/>
      <c r="CS117" s="12" t="n"/>
    </row>
    <row r="118">
      <c r="A118" s="10" t="n">
        <v>117</v>
      </c>
      <c r="B118" s="10" t="inlineStr">
        <is>
          <t>Autonómico</t>
        </is>
      </c>
      <c r="C118" s="10" t="inlineStr">
        <is>
          <t>Castilla-La Mancha</t>
        </is>
      </c>
      <c r="D118" s="10" t="inlineStr">
        <is>
          <t>Sánchez</t>
        </is>
      </c>
      <c r="E118" s="10" t="inlineStr">
        <is>
          <t>Agencia de Investigación e Innovación de Castilla-La Mancha (OA)</t>
        </is>
      </c>
      <c r="F118" s="10" t="inlineStr">
        <is>
          <t>Creación legal 2020 (OA), despliegue/alta 2022</t>
        </is>
      </c>
      <c r="G118" s="10" t="inlineStr">
        <is>
          <t>2020-07-10</t>
        </is>
      </c>
      <c r="H118" s="10" t="inlineStr">
        <is>
          <t>Ley 4/2020, de 10 de julio, de Fomento y Coordinación del Sistema de I+D+i de CLM (crea la agencia); estatutos por decreto posterior</t>
        </is>
      </c>
      <c r="I118" s="10" t="inlineStr">
        <is>
          <t>Gestión de la I+D+i de CLM</t>
        </is>
      </c>
      <c r="J118" s="10" t="inlineStr">
        <is>
          <t>Juicio de capacidad legal: Gestión de la I+D+i de CLM. Las funciones legales no acreditan por sí solas actividad, eficacia o dotación efectiva.</t>
        </is>
      </c>
      <c r="K118" s="11" t="n"/>
      <c r="L118" s="10" t="n"/>
      <c r="M118" s="10" t="n"/>
      <c r="N118" s="10" t="n"/>
      <c r="O118" s="10" t="inlineStr">
        <is>
          <t>Sin cifra propia actual verificada</t>
        </is>
      </c>
      <c r="P118" s="12" t="n"/>
      <c r="Q118" s="12" t="n"/>
      <c r="R118" s="10" t="inlineStr">
        <is>
          <t>Sin cifra propia actual 2026 verificada; no significa cero. No atribuir presupuesto del departamento.</t>
        </is>
      </c>
      <c r="S118" s="10" t="inlineStr">
        <is>
          <t>2026 presupuesto inicial; revisión 11/10/2026</t>
        </is>
      </c>
      <c r="T118" s="10" t="inlineStr">
        <is>
          <t>Creación o transformación legal verificada. Estado operativo a 11/10/2026 no confirmado de forma independiente en esta revisión; inscripción registral comunicada por el lote no sustituye la comprobación de actividad.</t>
        </is>
      </c>
      <c r="U118" s="10" t="inlineStr">
        <is>
          <t>Capacidad legal y eficacia práctica son distintas. Estado 2026 y plantilla ocupada no auditados salvo evidencia expresamente señalada. Fecha registral distinta de creación legal.</t>
        </is>
      </c>
      <c r="V118" s="10" t="inlineStr">
        <is>
          <t>Ámbito I+D+i próximo; funciones y territorios distintos</t>
        </is>
      </c>
      <c r="W118" s="10" t="inlineStr">
        <is>
          <t>4, 33, 89, 112</t>
        </is>
      </c>
      <c r="X118" s="10" t="inlineStr">
        <is>
          <t>Financiación, investigación o innovación en ámbitos estatales y autonómicos distintos; no equivalencia de programas ni doble financiación demostrada.</t>
        </is>
      </c>
      <c r="Y118" s="10" t="inlineStr">
        <is>
          <t>https://www.boe.es/eli/es/rd/2015/11/27/1067
https://www.igae.pap.hacienda.gob.es/sitios/igae/es-ES/Contabilidad/ContabilidadPublica/CPE/EjecucionPresupuestaria/Documents/ORGANISMOS%2008.%202026.pdf
https://www.aei.gob.es/en/about-aei/plans-aei/Budget
https://www.boe.es/eli/es/rd/2007/12/21/1730/con
https://www.xunta.gal/dog/Publicados/2012/20120127/AnuncioCA04-230112-11332_es.html
https://www.xunta.gal/dog/Publicados/2025/20251231/AnuncioC3B0-231225-0001_es.html
https://boe.es/buscar/doc.php?id=BOE-A-2023-1605
https://www.boe.es/eli/es-cm/l/2020/07/10/4</t>
        </is>
      </c>
      <c r="Z118" s="10" t="inlineStr">
        <is>
          <t>https://www.boe.es/eli/es-cm/l/2020/07/10/4</t>
        </is>
      </c>
      <c r="AA118" s="12" t="n"/>
      <c r="AB118" s="10" t="n"/>
      <c r="AC118" s="10" t="n"/>
      <c r="AD118" s="10" t="n"/>
      <c r="AE118" s="13" t="inlineStr">
        <is>
          <t>https://files.instinct.com/q91pr53q4umo-entidades-publicas-poder-y-presupuesto</t>
        </is>
      </c>
      <c r="AF118" s="10" t="inlineStr">
        <is>
          <t>12/10/2026</t>
        </is>
      </c>
      <c r="AG118" s="10" t="n"/>
      <c r="AH118" s="10" t="n"/>
      <c r="AI118" s="10" t="inlineStr">
        <is>
          <t>Personas ocupadas; no confundir miembros del órgano con empleados</t>
        </is>
      </c>
      <c r="AJ118" s="10" t="inlineStr">
        <is>
          <t>Sin cifra individual verificada en esta revisión</t>
        </is>
      </c>
      <c r="AK118" s="10" t="n"/>
      <c r="AL118" s="12" t="n"/>
      <c r="AM118" s="10" t="n"/>
      <c r="AN118" s="10" t="n"/>
      <c r="AO118" s="10" t="inlineStr">
        <is>
          <t>Sin crédito de personal individual verificado</t>
        </is>
      </c>
      <c r="AP118" s="10" t="n"/>
      <c r="AQ118" s="12" t="n"/>
      <c r="AR118" s="10" t="n"/>
      <c r="AS118" s="10" t="n"/>
      <c r="AT118" s="10" t="n"/>
      <c r="AU118" s="10" t="n"/>
      <c r="AV118" s="10" t="inlineStr">
        <is>
          <t>Sin ejecución individual verificada</t>
        </is>
      </c>
      <c r="AW118" s="10" t="inlineStr">
        <is>
          <t>Sin importe individual verificado; vacío no significa cero</t>
        </is>
      </c>
      <c r="AX118" s="14" t="n"/>
      <c r="AY118" s="14" t="n"/>
      <c r="AZ118" s="14" t="n"/>
      <c r="BA118" s="14" t="n"/>
      <c r="BB118" s="14" t="n"/>
      <c r="BC118" s="10" t="inlineStr">
        <is>
          <t>Revisado: AgenciaI+ICLM: evaluación y gestión</t>
        </is>
      </c>
      <c r="BD118" s="10" t="inlineStr">
        <is>
          <t>Art38: gestión/evaluación I+D+i, no trámite general leyes. Informe preceptivo PlanI+D art20 pertenece ConsejoAsesor, no agencia.</t>
        </is>
      </c>
      <c r="BE118" s="10" t="inlineStr">
        <is>
          <t>No consentimiento favorable ni veto legislativo establecido en las cláusulas revisadas.</t>
        </is>
      </c>
      <c r="BF118" s="10" t="inlineStr">
        <is>
          <t>Revisión limitada a las atribuciones citadas: no descarta trámites sectoriales en otras normas.</t>
        </is>
      </c>
      <c r="BG118" s="10" t="inlineStr">
        <is>
          <t>Ley4/2020 arts20,38</t>
        </is>
      </c>
      <c r="BH118" s="10" t="inlineStr">
        <is>
          <t>https://www.boe.es/eli/es-cm/l/2020/07/10/4</t>
        </is>
      </c>
      <c r="BI118" s="12" t="n"/>
      <c r="BJ118" s="12" t="n"/>
      <c r="BK118" s="12" t="n"/>
      <c r="BL118" s="12" t="n"/>
      <c r="BM118" s="10" t="n"/>
      <c r="BN118" s="10" t="n"/>
      <c r="BO118" s="12" t="n"/>
      <c r="BP118" s="12" t="n"/>
      <c r="BQ118" s="12" t="n"/>
      <c r="BR118" s="12" t="n"/>
      <c r="BS118" s="12" t="n"/>
      <c r="BT118" s="12" t="n"/>
      <c r="BU118" s="12" t="n"/>
      <c r="BV118" s="27" t="inlineStr">
        <is>
          <t>No útil</t>
        </is>
      </c>
      <c r="BW118" s="27" t="inlineStr">
        <is>
          <t>Integrar</t>
        </is>
      </c>
      <c r="BX118" s="27" t="inlineStr">
        <is>
          <t>Financiación y ayudas</t>
        </is>
      </c>
      <c r="BY118" s="27" t="inlineStr">
        <is>
          <t>Paralelo a AEI y CDTI: cada nivel actúa con sus propios fondos o competencias. 10 organismos sobre este tema entre el Estado y las CCAA (verificados).</t>
        </is>
      </c>
      <c r="BZ118" s="27" t="inlineStr">
        <is>
          <t>No</t>
        </is>
      </c>
      <c r="CA118" s="27" t="inlineStr">
        <is>
          <t>Parcial</t>
        </is>
      </c>
      <c r="CB118" s="27" t="inlineStr">
        <is>
          <t>Agencia autonómica que financia I+D+i; la AEI y el CDTI ya financian en todo el territorio.</t>
        </is>
      </c>
      <c r="CC118" s="27" t="inlineStr">
        <is>
          <t>Aplicando el criterio del P100: Criterio Extramuros del 12/10/2026</t>
        </is>
      </c>
      <c r="CD118" s="27" t="inlineStr">
        <is>
          <t>Agencia Estatal de Investigación (AEI) y Centro para el Desarrollo Tecnológico y la Innovación (CDTI, E.P.E.); la consejería autonómica para fondos propios</t>
        </is>
      </c>
      <c r="CE118" s="27" t="inlineStr">
        <is>
          <t>Agencias de investigación e innovación</t>
        </is>
      </c>
      <c r="CF118" s="28" t="n">
        <v>10</v>
      </c>
      <c r="CG118" s="12" t="n"/>
      <c r="CH118" s="29">
        <f>IF(AND(ISNUMBER(BP118),ISNUMBER(AG118),AG118&gt;0),BP118*1000000/AG118,"")</f>
        <v/>
      </c>
      <c r="CI118" s="12" t="n"/>
      <c r="CJ118" s="12" t="n"/>
      <c r="CK118" s="12" t="n"/>
      <c r="CL118" s="12" t="n"/>
      <c r="CM118" s="12" t="n"/>
      <c r="CN118" s="12" t="n"/>
      <c r="CO118" s="12" t="n"/>
      <c r="CP118" s="12" t="n"/>
      <c r="CQ118" s="12" t="n"/>
      <c r="CR118" s="12" t="n"/>
      <c r="CS118" s="12" t="n"/>
    </row>
    <row r="119">
      <c r="A119" s="10" t="n">
        <v>118</v>
      </c>
      <c r="B119" s="10" t="inlineStr">
        <is>
          <t>Autonómico</t>
        </is>
      </c>
      <c r="C119" s="10" t="inlineStr">
        <is>
          <t>Castilla-La Mancha</t>
        </is>
      </c>
      <c r="D119" s="10" t="inlineStr">
        <is>
          <t>Sánchez</t>
        </is>
      </c>
      <c r="E119" s="10" t="inlineStr">
        <is>
          <t>Agencia de Transformación Digital de Castilla-La Mancha</t>
        </is>
      </c>
      <c r="F119" s="10" t="inlineStr">
        <is>
          <t>Creación nueva</t>
        </is>
      </c>
      <c r="G119" s="10" t="inlineStr">
        <is>
          <t>2024-03-15</t>
        </is>
      </c>
      <c r="H119" s="10" t="inlineStr">
        <is>
          <t>Ley 1/2024, de 15 de marzo, de Medidas Administrativas y de Creación de la ATD-CLM; Estatutos Decreto 56/2024, de 24 de septiembre</t>
        </is>
      </c>
      <c r="I119" s="10" t="inlineStr">
        <is>
          <t>Transformación digital de la administración de CLM</t>
        </is>
      </c>
      <c r="J119" s="10" t="inlineStr">
        <is>
          <t>Juicio de capacidad legal: Transformación digital de la administración de CLM. Las funciones legales no acreditan por sí solas actividad, eficacia o dotación efectiva.</t>
        </is>
      </c>
      <c r="K119" s="11" t="n"/>
      <c r="L119" s="10" t="n"/>
      <c r="M119" s="10" t="n"/>
      <c r="N119" s="10" t="n"/>
      <c r="O119" s="10" t="inlineStr">
        <is>
          <t>Sin cifra propia actual verificada</t>
        </is>
      </c>
      <c r="P119" s="12" t="n"/>
      <c r="Q119" s="12" t="n"/>
      <c r="R119" s="10" t="inlineStr">
        <is>
          <t>Sin cifra propia actual 2026 verificada; no significa cero. No atribuir presupuesto del departamento.</t>
        </is>
      </c>
      <c r="S119" s="10" t="inlineStr">
        <is>
          <t>2026 presupuesto inicial; revisión 11/10/2026</t>
        </is>
      </c>
      <c r="T119" s="10" t="inlineStr">
        <is>
          <t>Creación o transformación legal verificada. Estado operativo a 11/10/2026 no confirmado de forma independiente en esta revisión; inscripción registral comunicada por el lote no sustituye la comprobación de actividad.</t>
        </is>
      </c>
      <c r="U119" s="10" t="inlineStr">
        <is>
          <t>Capacidad legal y eficacia práctica son distintas. Estado 2026 y plantilla ocupada no auditados salvo evidencia expresamente señalada. Fecha registral distinta de creación legal.</t>
        </is>
      </c>
      <c r="V119" s="10" t="inlineStr">
        <is>
          <t>No se ha identificado relación en esta revisión (no certifica ausencia)</t>
        </is>
      </c>
      <c r="W119" s="10" t="n"/>
      <c r="X119" s="10" t="inlineStr">
        <is>
          <t>Revisión cualitativa del mandato y estado; no auditoría exhaustiva de proyectos.</t>
        </is>
      </c>
      <c r="Y119" s="10" t="n"/>
      <c r="Z119" s="10" t="inlineStr">
        <is>
          <t>https://www.boe.es/eli/es-cm/l/2024/03/15/1</t>
        </is>
      </c>
      <c r="AA119" s="12" t="n"/>
      <c r="AB119" s="10" t="n"/>
      <c r="AC119" s="10" t="n"/>
      <c r="AD119" s="10" t="n"/>
      <c r="AE119" s="13" t="inlineStr">
        <is>
          <t>https://files.instinct.com/q91pr53q4umo-entidades-publicas-poder-y-presupuesto</t>
        </is>
      </c>
      <c r="AF119" s="10" t="inlineStr">
        <is>
          <t>12/10/2026</t>
        </is>
      </c>
      <c r="AG119" s="10" t="n"/>
      <c r="AH119" s="10" t="n"/>
      <c r="AI119" s="10" t="inlineStr">
        <is>
          <t>Personas ocupadas; no confundir miembros del órgano con empleados</t>
        </is>
      </c>
      <c r="AJ119" s="10" t="inlineStr">
        <is>
          <t>Sin cifra individual verificada en esta revisión</t>
        </is>
      </c>
      <c r="AK119" s="10" t="n"/>
      <c r="AL119" s="12" t="n"/>
      <c r="AM119" s="10" t="n"/>
      <c r="AN119" s="10" t="n"/>
      <c r="AO119" s="10" t="inlineStr">
        <is>
          <t>Sin crédito de personal individual verificado</t>
        </is>
      </c>
      <c r="AP119" s="10" t="n"/>
      <c r="AQ119" s="12" t="n"/>
      <c r="AR119" s="10" t="n"/>
      <c r="AS119" s="10" t="n"/>
      <c r="AT119" s="10" t="n"/>
      <c r="AU119" s="10" t="n"/>
      <c r="AV119" s="10" t="inlineStr">
        <is>
          <t>Sin ejecución individual verificada</t>
        </is>
      </c>
      <c r="AW119" s="10" t="inlineStr">
        <is>
          <t>Sin importe individual verificado; vacío no significa cero</t>
        </is>
      </c>
      <c r="AX119" s="14" t="n"/>
      <c r="AY119" s="14" t="n"/>
      <c r="AZ119" s="14" t="n"/>
      <c r="BA119" s="14" t="n"/>
      <c r="BB119" s="14" t="n"/>
      <c r="BC119" s="10" t="inlineStr">
        <is>
          <t>Revisado: ATDCLM: dirección digital</t>
        </is>
      </c>
      <c r="BD119" s="10" t="inlineStr">
        <is>
          <t>Planificación/regulación serviciosdigitales; no dictamen legislativo general en art2. Informes víaspecuarias misma ley son otroactor.</t>
        </is>
      </c>
      <c r="BE119" s="10" t="inlineStr">
        <is>
          <t>No consentimiento favorable ni veto legislativo establecido en las cláusulas revisadas.</t>
        </is>
      </c>
      <c r="BF119" s="10" t="inlineStr">
        <is>
          <t>Revisión limitada a las atribuciones citadas: no descarta trámites sectoriales en otras normas.</t>
        </is>
      </c>
      <c r="BG119" s="10" t="inlineStr">
        <is>
          <t>Ley1/2024 art2</t>
        </is>
      </c>
      <c r="BH119" s="10" t="inlineStr">
        <is>
          <t>https://www.boe.es/eli/es-cm/l/2024/03/15/1</t>
        </is>
      </c>
      <c r="BI119" s="12" t="n"/>
      <c r="BJ119" s="12" t="n"/>
      <c r="BK119" s="12" t="n"/>
      <c r="BL119" s="12" t="n"/>
      <c r="BM119" s="10" t="n"/>
      <c r="BN119" s="10" t="n"/>
      <c r="BO119" s="12" t="n"/>
      <c r="BP119" s="12" t="n"/>
      <c r="BQ119" s="12" t="n"/>
      <c r="BR119" s="12" t="n"/>
      <c r="BS119" s="12" t="n"/>
      <c r="BT119" s="12" t="n"/>
      <c r="BU119" s="12" t="n"/>
      <c r="BV119" s="27" t="inlineStr">
        <is>
          <t>No útil</t>
        </is>
      </c>
      <c r="BW119" s="27" t="inlineStr">
        <is>
          <t>Integrar</t>
        </is>
      </c>
      <c r="BX119" s="27" t="inlineStr">
        <is>
          <t>Servicio público directo</t>
        </is>
      </c>
      <c r="BY119" s="27" t="inlineStr">
        <is>
          <t>Competencia autonómica que el Estado no presta en ese territorio; la duplicidad es de forma (agencia propia o dirección general). 10 organismos sobre este tema entre el Estado y las CCAA (verificados).</t>
        </is>
      </c>
      <c r="BZ119" s="27" t="inlineStr">
        <is>
          <t>No</t>
        </is>
      </c>
      <c r="CA119" s="27" t="inlineStr">
        <is>
          <t>Parcial</t>
        </is>
      </c>
      <c r="CB119" s="27" t="inlineStr">
        <is>
          <t>Agencia digital autonómica: el P100 hace una sola web y una sola aplicación para todo el Estado, a la que se suman las comunidades.</t>
        </is>
      </c>
      <c r="CC119" s="27" t="inlineStr">
        <is>
          <t>Explícito en el P100: Organización del Estado 17 y criterio Extramuros del 12/10/2026 («con una nacional basta»)</t>
        </is>
      </c>
      <c r="CD119" s="27" t="inlineStr">
        <is>
          <t>Agencia Estatal de Administración Digital (AEAD) y web única del Estado</t>
        </is>
      </c>
      <c r="CE119" s="27" t="inlineStr">
        <is>
          <t>Agencias de administración digital y TIC</t>
        </is>
      </c>
      <c r="CF119" s="28" t="n">
        <v>10</v>
      </c>
      <c r="CG119" s="12" t="n"/>
      <c r="CH119" s="29">
        <f>IF(AND(ISNUMBER(BP119),ISNUMBER(AG119),AG119&gt;0),BP119*1000000/AG119,"")</f>
        <v/>
      </c>
      <c r="CI119" s="12" t="n"/>
      <c r="CJ119" s="12" t="n"/>
      <c r="CK119" s="12" t="n"/>
      <c r="CL119" s="12" t="n"/>
      <c r="CM119" s="12" t="n"/>
      <c r="CN119" s="12" t="n"/>
      <c r="CO119" s="12" t="n"/>
      <c r="CP119" s="12" t="n"/>
      <c r="CQ119" s="12" t="n"/>
      <c r="CR119" s="12" t="n"/>
      <c r="CS119" s="12" t="n"/>
    </row>
    <row r="120">
      <c r="A120" s="10" t="n">
        <v>119</v>
      </c>
      <c r="B120" s="10" t="inlineStr">
        <is>
          <t>Autonómico</t>
        </is>
      </c>
      <c r="C120" s="10" t="inlineStr">
        <is>
          <t>La Rioja</t>
        </is>
      </c>
      <c r="D120" s="10" t="inlineStr">
        <is>
          <t>Sánchez</t>
        </is>
      </c>
      <c r="E120" s="10" t="inlineStr">
        <is>
          <t>Agencia Riojana de Transición Energética y Cambio Climático (ARTE)</t>
        </is>
      </c>
      <c r="F120" s="10" t="inlineStr">
        <is>
          <t>Creación nueva</t>
        </is>
      </c>
      <c r="G120" s="10" t="inlineStr">
        <is>
          <t>2022-11-02</t>
        </is>
      </c>
      <c r="H120" s="10" t="inlineStr">
        <is>
          <t>Ley 13/2022, de 2 de noviembre</t>
        </is>
      </c>
      <c r="I120" s="10" t="inlineStr">
        <is>
          <t>Transición energética y cambio climático de La Rioja</t>
        </is>
      </c>
      <c r="J120" s="10" t="inlineStr">
        <is>
          <t>Juicio de capacidad legal: Transición energética y cambio climático de La Rioja. Las funciones legales no acreditan por sí solas actividad, eficacia o dotación efectiva.</t>
        </is>
      </c>
      <c r="K120" s="11" t="n"/>
      <c r="L120" s="10" t="n"/>
      <c r="M120" s="10" t="n"/>
      <c r="N120" s="10" t="n"/>
      <c r="O120" s="10" t="inlineStr">
        <is>
          <t>Sin cifra propia actual verificada</t>
        </is>
      </c>
      <c r="P120" s="12" t="n"/>
      <c r="Q120" s="12" t="n"/>
      <c r="R120" s="10" t="inlineStr">
        <is>
          <t>Sin presupuesto propio actual como entidad suprimida; no se cifra el coste de funciones transferidas.</t>
        </is>
      </c>
      <c r="S120" s="10" t="inlineStr">
        <is>
          <t>2026 presupuesto inicial; revisión 11/10/2026</t>
        </is>
      </c>
      <c r="T120" s="10" t="inlineStr">
        <is>
          <t>Norma creadora derogada con efectos 1/01/2024 por Ley13/2023. No se presenta como agencia actual operativa.</t>
        </is>
      </c>
      <c r="U120" s="10" t="inlineStr">
        <is>
          <t>Capacidad legal y eficacia práctica son distintas. Estado 2026 y plantilla ocupada no auditados salvo evidencia expresamente señalada. Fecha registral distinta de creación legal. Constitución efectiva previa a la derogación no confirmada; no afirmar que nunca operó.</t>
        </is>
      </c>
      <c r="V120" s="10" t="inlineStr">
        <is>
          <t>No se ha identificado relación en esta revisión (no certifica ausencia)</t>
        </is>
      </c>
      <c r="W120" s="10" t="n"/>
      <c r="X120" s="10" t="inlineStr">
        <is>
          <t>Revisión cualitativa del mandato y estado; no auditoría exhaustiva de proyectos.</t>
        </is>
      </c>
      <c r="Y120" s="10" t="n"/>
      <c r="Z120" s="10" t="inlineStr">
        <is>
          <t>https://www.boe.es/eli/es-ri/l/2022/11/02/13
https://www.boe.es/buscar/act.php?id=BOE-A-2022-18898
https://www.boe.es/buscar/act.php?id=BOE-A-2024-1778</t>
        </is>
      </c>
      <c r="AA120" s="12" t="n"/>
      <c r="AB120" s="10" t="n"/>
      <c r="AC120" s="10" t="n"/>
      <c r="AD120" s="10" t="n"/>
      <c r="AE120" s="13" t="inlineStr">
        <is>
          <t>https://files.instinct.com/q91pr53q4umo-entidades-publicas-poder-y-presupuesto</t>
        </is>
      </c>
      <c r="AF120" s="10" t="inlineStr">
        <is>
          <t>12/10/2026</t>
        </is>
      </c>
      <c r="AG120" s="10" t="n"/>
      <c r="AH120" s="10" t="n"/>
      <c r="AI120" s="10" t="inlineStr">
        <is>
          <t>Personas ocupadas; no confundir miembros del órgano con empleados</t>
        </is>
      </c>
      <c r="AJ120" s="10" t="inlineStr">
        <is>
          <t>Sin cifra individual verificada en esta revisión</t>
        </is>
      </c>
      <c r="AK120" s="10" t="n"/>
      <c r="AL120" s="12" t="n"/>
      <c r="AM120" s="10" t="n"/>
      <c r="AN120" s="10" t="n"/>
      <c r="AO120" s="10" t="inlineStr">
        <is>
          <t>Sin crédito de personal individual verificado</t>
        </is>
      </c>
      <c r="AP120" s="10" t="n"/>
      <c r="AQ120" s="12" t="n"/>
      <c r="AR120" s="10" t="n"/>
      <c r="AS120" s="10" t="n"/>
      <c r="AT120" s="10" t="n"/>
      <c r="AU120" s="10" t="n"/>
      <c r="AV120" s="10" t="inlineStr">
        <is>
          <t>Sin ejecución individual verificada</t>
        </is>
      </c>
      <c r="AW120" s="10" t="inlineStr">
        <is>
          <t>Sin importe individual verificado; vacío no significa cero</t>
        </is>
      </c>
      <c r="AX120" s="14" t="n"/>
      <c r="AY120" s="14" t="n"/>
      <c r="AZ120" s="14" t="n"/>
      <c r="BA120" s="14" t="n"/>
      <c r="BB120" s="14" t="n"/>
      <c r="BC120" s="10" t="inlineStr">
        <is>
          <t>Revisado: ARTE: planes e informes técnicos</t>
        </is>
      </c>
      <c r="BD120" s="10" t="inlineStr">
        <is>
          <t>Planesenergía/cambio climático e informes tecnológicos; no consentimiento general de leyes en art3.</t>
        </is>
      </c>
      <c r="BE120" s="10" t="inlineStr">
        <is>
          <t>No consentimiento favorable ni veto legislativo establecido en las cláusulas revisadas.</t>
        </is>
      </c>
      <c r="BF120" s="10" t="inlineStr">
        <is>
          <t>Revisión limitada a las atribuciones citadas: no descarta trámites sectoriales en otras normas.</t>
        </is>
      </c>
      <c r="BG120" s="10" t="inlineStr">
        <is>
          <t>Ley13/2022 art3</t>
        </is>
      </c>
      <c r="BH120" s="10" t="inlineStr">
        <is>
          <t>https://www.boe.es/eli/es-ri/l/2022/11/02/13</t>
        </is>
      </c>
      <c r="BI120" s="12" t="n"/>
      <c r="BJ120" s="12" t="n"/>
      <c r="BK120" s="12" t="n"/>
      <c r="BL120" s="12" t="n"/>
      <c r="BM120" s="10" t="n"/>
      <c r="BN120" s="10" t="n"/>
      <c r="BO120" s="12" t="n"/>
      <c r="BP120" s="12" t="n"/>
      <c r="BQ120" s="12" t="n"/>
      <c r="BR120" s="12" t="n"/>
      <c r="BS120" s="12" t="n"/>
      <c r="BT120" s="12" t="n"/>
      <c r="BU120" s="12" t="n"/>
      <c r="BV120" s="27" t="inlineStr">
        <is>
          <t>Extinguida</t>
        </is>
      </c>
      <c r="BW120" s="27" t="inlineStr">
        <is>
          <t>Extinguida</t>
        </is>
      </c>
      <c r="BX120" s="27" t="inlineStr">
        <is>
          <t>Extinguida o no constituida</t>
        </is>
      </c>
      <c r="BY120" s="27" t="inlineStr">
        <is>
          <t>11 organismos sobre este tema entre el Estado y las CCAA (verificados)</t>
        </is>
      </c>
      <c r="BZ120" s="27" t="inlineStr">
        <is>
          <t>No</t>
        </is>
      </c>
      <c r="CA120" s="27" t="inlineStr">
        <is>
          <t>No aplica (no vigente)</t>
        </is>
      </c>
      <c r="CB120" s="27" t="inlineStr">
        <is>
          <t>Norma creadora derogada con efectos 1/01/2024.</t>
        </is>
      </c>
      <c r="CC120" s="12" t="n"/>
      <c r="CD120" s="12" t="n"/>
      <c r="CE120" s="27" t="inlineStr">
        <is>
          <t>Agencias de la energía</t>
        </is>
      </c>
      <c r="CF120" s="28" t="n">
        <v>11</v>
      </c>
      <c r="CG120" s="12" t="n"/>
      <c r="CH120" s="29">
        <f>IF(AND(ISNUMBER(BP120),ISNUMBER(AG120),AG120&gt;0),BP120*1000000/AG120,"")</f>
        <v/>
      </c>
      <c r="CI120" s="12" t="n"/>
      <c r="CJ120" s="12" t="n"/>
      <c r="CK120" s="12" t="n"/>
      <c r="CL120" s="12" t="n"/>
      <c r="CM120" s="12" t="n"/>
      <c r="CN120" s="12" t="n"/>
      <c r="CO120" s="12" t="n"/>
      <c r="CP120" s="12" t="n"/>
      <c r="CQ120" s="12" t="n"/>
      <c r="CR120" s="12" t="n"/>
      <c r="CS120" s="12" t="n"/>
    </row>
    <row r="121">
      <c r="A121" s="10" t="n">
        <v>120</v>
      </c>
      <c r="B121" s="10" t="inlineStr">
        <is>
          <t>Autonómico</t>
        </is>
      </c>
      <c r="C121" s="10" t="inlineStr">
        <is>
          <t>Murcia</t>
        </is>
      </c>
      <c r="D121" s="10" t="inlineStr">
        <is>
          <t>Sánchez</t>
        </is>
      </c>
      <c r="E121" s="10" t="inlineStr">
        <is>
          <t>Agencia Digital de la Región de Murcia</t>
        </is>
      </c>
      <c r="F121" s="10" t="inlineStr">
        <is>
          <t>Creación nueva (OA)</t>
        </is>
      </c>
      <c r="G121" s="10" t="inlineStr">
        <is>
          <t>2022-10-20</t>
        </is>
      </c>
      <c r="H121" s="10" t="inlineStr">
        <is>
          <t>Decreto-ley 5/2022, de 20 de octubre, capítulo III (la crea como organismo autónomo)</t>
        </is>
      </c>
      <c r="I121" s="10" t="inlineStr">
        <is>
          <t>Digitalización de la administración y servicios de la Región de Murcia</t>
        </is>
      </c>
      <c r="J121" s="10" t="inlineStr">
        <is>
          <t>Juicio de capacidad legal: Digitalización de la administración y servicios de la Región de Murcia. Las funciones legales no acreditan por sí solas actividad, eficacia o dotación efectiva.</t>
        </is>
      </c>
      <c r="K121" s="11" t="n"/>
      <c r="L121" s="10" t="n"/>
      <c r="M121" s="10" t="n"/>
      <c r="N121" s="10" t="n"/>
      <c r="O121" s="10" t="inlineStr">
        <is>
          <t>Sin cifra propia actual verificada</t>
        </is>
      </c>
      <c r="P121" s="12" t="n"/>
      <c r="Q121" s="12" t="n"/>
      <c r="R121" s="10" t="inlineStr">
        <is>
          <t>Sin cifra propia actual 2026 verificada; no significa cero. No atribuir presupuesto del departamento.</t>
        </is>
      </c>
      <c r="S121" s="10" t="inlineStr">
        <is>
          <t>2026 presupuesto inicial; revisión 11/10/2026</t>
        </is>
      </c>
      <c r="T121" s="10" t="inlineStr">
        <is>
          <t>Creación o transformación legal verificada. Estado operativo a 11/10/2026 no confirmado de forma independiente en esta revisión; inscripción registral comunicada por el lote no sustituye la comprobación de actividad.</t>
        </is>
      </c>
      <c r="U121" s="10" t="inlineStr">
        <is>
          <t>Capacidad legal y eficacia práctica son distintas. Estado 2026 y plantilla ocupada no auditados salvo evidencia expresamente señalada. Fecha registral distinta de creación legal.</t>
        </is>
      </c>
      <c r="V121" s="10" t="inlineStr">
        <is>
          <t>No se ha identificado relación en esta revisión (no certifica ausencia)</t>
        </is>
      </c>
      <c r="W121" s="10" t="n"/>
      <c r="X121" s="10" t="inlineStr">
        <is>
          <t>Revisión cualitativa del mandato y estado; no auditoría exhaustiva de proyectos.</t>
        </is>
      </c>
      <c r="Y121" s="10" t="n"/>
      <c r="Z121" s="10" t="inlineStr">
        <is>
          <t>https://www.boe.es/buscar/act.php?id=BORM-s-2022-90316</t>
        </is>
      </c>
      <c r="AA121" s="12" t="n"/>
      <c r="AB121" s="10" t="n"/>
      <c r="AC121" s="10" t="n"/>
      <c r="AD121" s="10" t="n"/>
      <c r="AE121" s="13" t="inlineStr">
        <is>
          <t>https://files.instinct.com/q91pr53q4umo-entidades-publicas-poder-y-presupuesto</t>
        </is>
      </c>
      <c r="AF121" s="10" t="inlineStr">
        <is>
          <t>12/10/2026</t>
        </is>
      </c>
      <c r="AG121" s="10" t="n"/>
      <c r="AH121" s="10" t="n"/>
      <c r="AI121" s="10" t="inlineStr">
        <is>
          <t>Personas ocupadas; no confundir miembros del órgano con empleados</t>
        </is>
      </c>
      <c r="AJ121" s="10" t="inlineStr">
        <is>
          <t>Sin cifra individual verificada en esta revisión</t>
        </is>
      </c>
      <c r="AK121" s="10" t="n"/>
      <c r="AL121" s="12" t="n"/>
      <c r="AM121" s="10" t="n"/>
      <c r="AN121" s="10" t="n"/>
      <c r="AO121" s="10" t="inlineStr">
        <is>
          <t>Sin crédito de personal individual verificado</t>
        </is>
      </c>
      <c r="AP121" s="10" t="n"/>
      <c r="AQ121" s="12" t="n"/>
      <c r="AR121" s="10" t="n"/>
      <c r="AS121" s="10" t="n"/>
      <c r="AT121" s="10" t="n"/>
      <c r="AU121" s="10" t="n"/>
      <c r="AV121" s="10" t="inlineStr">
        <is>
          <t>Sin ejecución individual verificada</t>
        </is>
      </c>
      <c r="AW121" s="10" t="inlineStr">
        <is>
          <t>Sin importe individual verificado; vacío no significa cero</t>
        </is>
      </c>
      <c r="AX121" s="14" t="n"/>
      <c r="AY121" s="14" t="n"/>
      <c r="AZ121" s="14" t="n"/>
      <c r="BA121" s="14" t="n"/>
      <c r="BB121" s="14" t="n"/>
      <c r="BC121" s="10" t="inlineStr">
        <is>
          <t>Revisado: ATDRMurcia estatuto2025</t>
        </is>
      </c>
      <c r="BD121" s="10" t="inlineStr">
        <is>
          <t>Art3: propone/desarrolla política digital, licencias audiovisuales e inspección/sanción. No trámite previo general para leyes.</t>
        </is>
      </c>
      <c r="BE121" s="10" t="inlineStr">
        <is>
          <t>No veto parlamentario ni consentimiento favorable general establecido en las cláusulas revisadas.</t>
        </is>
      </c>
      <c r="BF121" s="10" t="inlineStr">
        <is>
          <t>Alcance limitado a norma y atribuciones citadas; no descarta reglas sectoriales adicionales.</t>
        </is>
      </c>
      <c r="BG121" s="10" t="inlineStr">
        <is>
          <t>Decreto46/2025 estatutoart3</t>
        </is>
      </c>
      <c r="BH121" s="10" t="inlineStr">
        <is>
          <t>https://www.borm.es/services/boletin/ano/2025/numero/120/pdf</t>
        </is>
      </c>
      <c r="BI121" s="12" t="n"/>
      <c r="BJ121" s="12" t="n"/>
      <c r="BK121" s="12" t="n"/>
      <c r="BL121" s="12" t="n"/>
      <c r="BM121" s="10" t="n"/>
      <c r="BN121" s="10" t="n"/>
      <c r="BO121" s="12" t="n"/>
      <c r="BP121" s="12" t="n"/>
      <c r="BQ121" s="12" t="n"/>
      <c r="BR121" s="12" t="n"/>
      <c r="BS121" s="12" t="n"/>
      <c r="BT121" s="12" t="n"/>
      <c r="BU121" s="12" t="n"/>
      <c r="BV121" s="27" t="inlineStr">
        <is>
          <t>No útil</t>
        </is>
      </c>
      <c r="BW121" s="27" t="inlineStr">
        <is>
          <t>Integrar</t>
        </is>
      </c>
      <c r="BX121" s="27" t="inlineStr">
        <is>
          <t>Servicio público directo</t>
        </is>
      </c>
      <c r="BY121" s="27" t="inlineStr">
        <is>
          <t>Competencia autonómica que el Estado no presta en ese territorio; la duplicidad es de forma (agencia propia o dirección general). 10 organismos sobre este tema entre el Estado y las CCAA (verificados).</t>
        </is>
      </c>
      <c r="BZ121" s="27" t="inlineStr">
        <is>
          <t>No</t>
        </is>
      </c>
      <c r="CA121" s="27" t="inlineStr">
        <is>
          <t>No acreditada</t>
        </is>
      </c>
      <c r="CB121" s="27" t="inlineStr">
        <is>
          <t>Agencia digital autonómica: el P100 hace una sola web y una sola aplicación para todo el Estado, a la que se suman las comunidades.</t>
        </is>
      </c>
      <c r="CC121" s="27" t="inlineStr">
        <is>
          <t>Explícito en el P100: Organización del Estado 17 y criterio Extramuros del 12/10/2026 («con una nacional basta»)</t>
        </is>
      </c>
      <c r="CD121" s="27" t="inlineStr">
        <is>
          <t>Agencia Estatal de Administración Digital (AEAD) y web única del Estado</t>
        </is>
      </c>
      <c r="CE121" s="27" t="inlineStr">
        <is>
          <t>Agencias de administración digital y TIC</t>
        </is>
      </c>
      <c r="CF121" s="28" t="n">
        <v>10</v>
      </c>
      <c r="CG121" s="12" t="n"/>
      <c r="CH121" s="29">
        <f>IF(AND(ISNUMBER(BP121),ISNUMBER(AG121),AG121&gt;0),BP121*1000000/AG121,"")</f>
        <v/>
      </c>
      <c r="CI121" s="12" t="n"/>
      <c r="CJ121" s="12" t="n"/>
      <c r="CK121" s="12" t="n"/>
      <c r="CL121" s="12" t="n"/>
      <c r="CM121" s="12" t="n"/>
      <c r="CN121" s="12" t="n"/>
      <c r="CO121" s="12" t="n"/>
      <c r="CP121" s="12" t="n"/>
      <c r="CQ121" s="12" t="n"/>
      <c r="CR121" s="12" t="n"/>
      <c r="CS121" s="12" t="n"/>
    </row>
    <row r="122">
      <c r="A122" s="10" t="n">
        <v>121</v>
      </c>
      <c r="B122" s="10" t="inlineStr">
        <is>
          <t>Autonómico</t>
        </is>
      </c>
      <c r="C122" s="10" t="inlineStr">
        <is>
          <t>Galicia</t>
        </is>
      </c>
      <c r="D122" s="10" t="inlineStr">
        <is>
          <t>Rajoy</t>
        </is>
      </c>
      <c r="E122" s="10" t="inlineStr">
        <is>
          <t>Agencia Gallega de la Calidad Alimentaria (AGACAL)</t>
        </is>
      </c>
      <c r="F122" s="10" t="inlineStr">
        <is>
          <t>Transformación de Instituto Gallego de Calidad Alimentaria (Ingacal)</t>
        </is>
      </c>
      <c r="G122" s="10" t="inlineStr">
        <is>
          <t>2018-04-05</t>
        </is>
      </c>
      <c r="H122" s="10" t="inlineStr">
        <is>
          <t>Decreto 52/2018, de 5 de abril (creación y estatutos)</t>
        </is>
      </c>
      <c r="I122" s="10" t="inlineStr">
        <is>
          <t>Calidad alimentaria gallega</t>
        </is>
      </c>
      <c r="J122" s="10" t="inlineStr">
        <is>
          <t>Juicio de capacidad legal: Calidad alimentaria gallega. Las funciones legales no acreditan por sí solas actividad, eficacia o dotación efectiva.</t>
        </is>
      </c>
      <c r="K122" s="11" t="n"/>
      <c r="L122" s="10" t="n"/>
      <c r="M122" s="10" t="n"/>
      <c r="N122" s="10" t="n"/>
      <c r="O122" s="10" t="inlineStr">
        <is>
          <t>Sin cifra propia actual verificada</t>
        </is>
      </c>
      <c r="P122" s="12" t="n"/>
      <c r="Q122" s="12" t="n"/>
      <c r="R122" s="10" t="inlineStr">
        <is>
          <t>Sin cifra propia actual 2026 verificada; no significa cero. No atribuir presupuesto del departamento.</t>
        </is>
      </c>
      <c r="S122" s="10" t="inlineStr">
        <is>
          <t>2026 presupuesto inicial; revisión 11/10/2026</t>
        </is>
      </c>
      <c r="T122" s="10" t="inlineStr">
        <is>
          <t>Creación o transformación legal verificada. Estado operativo a 11/10/2026 no confirmado de forma independiente en esta revisión; inscripción registral comunicada por el lote no sustituye la comprobación de actividad.</t>
        </is>
      </c>
      <c r="U122" s="10" t="inlineStr">
        <is>
          <t>Capacidad legal y eficacia práctica son distintas. Estado 2026 y plantilla ocupada no auditados salvo evidencia expresamente señalada. Fecha registral distinta de creación legal.</t>
        </is>
      </c>
      <c r="V122" s="10" t="inlineStr">
        <is>
          <t>No se ha identificado relación en esta revisión (no certifica ausencia)</t>
        </is>
      </c>
      <c r="W122" s="10" t="n"/>
      <c r="X122" s="10" t="inlineStr">
        <is>
          <t>Revisión cualitativa del mandato y estado; no auditoría exhaustiva de proyectos.</t>
        </is>
      </c>
      <c r="Y122" s="10" t="n"/>
      <c r="Z122" s="10" t="inlineStr">
        <is>
          <t>https://www.xunta.gal/dog/Publicados/2018/20180530/AnuncioG0244-290518-0003_es.html</t>
        </is>
      </c>
      <c r="AA122" s="12" t="n"/>
      <c r="AB122" s="10" t="n"/>
      <c r="AC122" s="10" t="n"/>
      <c r="AD122" s="10" t="n"/>
      <c r="AE122" s="13" t="inlineStr">
        <is>
          <t>https://files.instinct.com/q91pr53q4umo-entidades-publicas-poder-y-presupuesto</t>
        </is>
      </c>
      <c r="AF122" s="10" t="inlineStr">
        <is>
          <t>12/10/2026</t>
        </is>
      </c>
      <c r="AG122" s="10" t="n"/>
      <c r="AH122" s="10" t="n"/>
      <c r="AI122" s="10" t="inlineStr">
        <is>
          <t>Personas ocupadas; no confundir miembros del órgano con empleados</t>
        </is>
      </c>
      <c r="AJ122" s="10" t="inlineStr">
        <is>
          <t>Sin cifra individual verificada en esta revisión</t>
        </is>
      </c>
      <c r="AK122" s="10" t="n"/>
      <c r="AL122" s="12" t="n"/>
      <c r="AM122" s="10" t="n"/>
      <c r="AN122" s="10" t="n"/>
      <c r="AO122" s="10" t="inlineStr">
        <is>
          <t>Sin crédito de personal individual verificado</t>
        </is>
      </c>
      <c r="AP122" s="10" t="n"/>
      <c r="AQ122" s="12" t="n"/>
      <c r="AR122" s="10" t="n"/>
      <c r="AS122" s="10" t="n"/>
      <c r="AT122" s="10" t="n"/>
      <c r="AU122" s="10" t="n"/>
      <c r="AV122" s="10" t="inlineStr">
        <is>
          <t>Sin ejecución individual verificada</t>
        </is>
      </c>
      <c r="AW122" s="10" t="inlineStr">
        <is>
          <t>Sin importe individual verificado; vacío no significa cero</t>
        </is>
      </c>
      <c r="AX122" s="14" t="n"/>
      <c r="AY122" s="14" t="n"/>
      <c r="AZ122" s="14" t="n"/>
      <c r="BA122" s="14" t="n"/>
      <c r="BB122" s="14" t="n"/>
      <c r="BC122" s="10" t="inlineStr">
        <is>
          <t>Revisado: AGACAL: calidad e innovación alimentaria</t>
        </is>
      </c>
      <c r="BD122" s="10" t="inlineStr">
        <is>
          <t>Estatutos de calidad/formación/controles; no informe legislativo general. Informes presupuestarios favorables exigidos a agencia son de centrosdirectivos externos.</t>
        </is>
      </c>
      <c r="BE122" s="10" t="inlineStr">
        <is>
          <t>No consentimiento favorable ni veto legislativo establecido en las cláusulas revisadas.</t>
        </is>
      </c>
      <c r="BF122" s="10" t="inlineStr">
        <is>
          <t>Revisión limitada a las atribuciones citadas: no descarta trámites sectoriales en otras normas.</t>
        </is>
      </c>
      <c r="BG122" s="10" t="inlineStr">
        <is>
          <t>Decreto52/2018 funcionesestatuto</t>
        </is>
      </c>
      <c r="BH122" s="10" t="inlineStr">
        <is>
          <t>https://www.xunta.gal/dog/Publicados/2018/20180530/AnuncioG0244-290518-0003_es.html</t>
        </is>
      </c>
      <c r="BI122" s="12" t="n"/>
      <c r="BJ122" s="12" t="n"/>
      <c r="BK122" s="12" t="n"/>
      <c r="BL122" s="12" t="n"/>
      <c r="BM122" s="10" t="n"/>
      <c r="BN122" s="10" t="n"/>
      <c r="BO122" s="12" t="n"/>
      <c r="BP122" s="12" t="n"/>
      <c r="BQ122" s="12" t="n"/>
      <c r="BR122" s="12" t="n"/>
      <c r="BS122" s="12" t="n"/>
      <c r="BT122" s="12" t="n"/>
      <c r="BU122" s="12" t="n"/>
      <c r="BV122" s="27" t="inlineStr">
        <is>
          <t>Útil</t>
        </is>
      </c>
      <c r="BW122" s="27" t="inlineStr">
        <is>
          <t>Mantener</t>
        </is>
      </c>
      <c r="BX122" s="27" t="inlineStr">
        <is>
          <t>Regulación o inspección de terceros</t>
        </is>
      </c>
      <c r="BY122" s="12" t="n"/>
      <c r="BZ122" s="27" t="inlineStr">
        <is>
          <t>No</t>
        </is>
      </c>
      <c r="CA122" s="27" t="inlineStr">
        <is>
          <t>Parcial</t>
        </is>
      </c>
      <c r="CB122" s="27" t="inlineStr">
        <is>
          <t>Controla la calidad alimentaria y las denominaciones de origen gallegas, en línea con la soberanía alimentaria del P100.</t>
        </is>
      </c>
      <c r="CC122" s="27" t="inlineStr">
        <is>
          <t>Aplicando el criterio del P100: Función técnica</t>
        </is>
      </c>
      <c r="CD122" s="12" t="n"/>
      <c r="CE122" s="27" t="inlineStr">
        <is>
          <t>Calidad alimentaria</t>
        </is>
      </c>
      <c r="CF122" s="12" t="n"/>
      <c r="CG122" s="12" t="n"/>
      <c r="CH122" s="29">
        <f>IF(AND(ISNUMBER(BP122),ISNUMBER(AG122),AG122&gt;0),BP122*1000000/AG122,"")</f>
        <v/>
      </c>
      <c r="CI122" s="12" t="n"/>
      <c r="CJ122" s="12" t="n"/>
      <c r="CK122" s="12" t="n"/>
      <c r="CL122" s="12" t="n"/>
      <c r="CM122" s="12" t="n"/>
      <c r="CN122" s="12" t="n"/>
      <c r="CO122" s="12" t="n"/>
      <c r="CP122" s="12" t="n"/>
      <c r="CQ122" s="12" t="n"/>
      <c r="CR122" s="12" t="n"/>
      <c r="CS122" s="12" t="n"/>
    </row>
    <row r="123">
      <c r="A123" s="10" t="n">
        <v>122</v>
      </c>
      <c r="B123" s="10" t="inlineStr">
        <is>
          <t>Autonómico</t>
        </is>
      </c>
      <c r="C123" s="10" t="inlineStr">
        <is>
          <t>Extremadura</t>
        </is>
      </c>
      <c r="D123" s="10" t="inlineStr">
        <is>
          <t>Sánchez</t>
        </is>
      </c>
      <c r="E123" s="10" t="inlineStr">
        <is>
          <t>Agencia Extremeña de la Energía (AGENEX), entidad pública empresarial</t>
        </is>
      </c>
      <c r="F123" s="10" t="inlineStr">
        <is>
          <t>Transformación e integración del Consorcio AGENEX preexistente; no creación desde cero</t>
        </is>
      </c>
      <c r="G123" s="10" t="inlineStr">
        <is>
          <t>2026-07-02</t>
        </is>
      </c>
      <c r="H123" s="10" t="inlineStr">
        <is>
          <t>Ley 1/2026, de 2 de julio</t>
        </is>
      </c>
      <c r="I123" s="10" t="inlineStr">
        <is>
          <t>Política energética, eficiencia, renovables, asesoramiento y gestión del Bono Social Térmico.</t>
        </is>
      </c>
      <c r="J123" s="10" t="inlineStr">
        <is>
          <t>Capacidad legal de gestión y pago de ayudas; medio propio. No se ha verificado ejecución efectiva de la nueva entidad.</t>
        </is>
      </c>
      <c r="K123" s="11" t="n"/>
      <c r="L123" s="10" t="n"/>
      <c r="M123" s="10" t="n"/>
      <c r="N123" s="10" t="n"/>
      <c r="O123" s="10" t="inlineStr">
        <is>
          <t>Sin cifra propia actual verificada</t>
        </is>
      </c>
      <c r="P123" s="12" t="n"/>
      <c r="Q123" s="12" t="n"/>
      <c r="R123" s="10" t="inlineStr">
        <is>
          <t>Sin cifra propia actual de 2026 verificada; no significa cero. No atribuir presupuesto del departamento.</t>
        </is>
      </c>
      <c r="S123" s="10" t="inlineStr">
        <is>
          <t>Revisión 11/10/2026</t>
        </is>
      </c>
      <c r="T123" s="10" t="inlineStr">
        <is>
          <t>EPE creada por ley. La cesión de activos, pasivos y personal solo produce efectos con la extinción efectiva del consorcio y aprobación del proyecto de cesión; cumplimiento no confirmado en esta revisión.</t>
        </is>
      </c>
      <c r="U123" s="10" t="inlineStr">
        <is>
          <t>Capacidad legal distinta de eficacia práctica. No se ha verificado plantilla ocupada ni gasto ejecutado individual.</t>
        </is>
      </c>
      <c r="V123" s="10" t="inlineStr">
        <is>
          <t>No se ha identificado relación en esta revisión (no certifica ausencia)</t>
        </is>
      </c>
      <c r="W123" s="10" t="n"/>
      <c r="X123" s="10" t="inlineStr">
        <is>
          <t>Revisión cualitativa del mandato y estado; no auditoría exhaustiva de proyectos.</t>
        </is>
      </c>
      <c r="Y123" s="10" t="n"/>
      <c r="Z123" s="10" t="inlineStr">
        <is>
          <t>https://www.boe.es/diario_boe/txt.php?id=BOE-A-2026-15131</t>
        </is>
      </c>
      <c r="AA123" s="12" t="n"/>
      <c r="AB123" s="10" t="n"/>
      <c r="AC123" s="10" t="n"/>
      <c r="AD123" s="10" t="n"/>
      <c r="AE123" s="13" t="inlineStr">
        <is>
          <t>https://files.instinct.com/q91pr53q4umo-entidades-publicas-poder-y-presupuesto</t>
        </is>
      </c>
      <c r="AF123" s="10" t="inlineStr">
        <is>
          <t>12/10/2026</t>
        </is>
      </c>
      <c r="AG123" s="10" t="n"/>
      <c r="AH123" s="10" t="n"/>
      <c r="AI123" s="10" t="inlineStr">
        <is>
          <t>Personas ocupadas; no confundir miembros del órgano con empleados</t>
        </is>
      </c>
      <c r="AJ123" s="10" t="inlineStr">
        <is>
          <t>Sin cifra individual verificada en esta revisión</t>
        </is>
      </c>
      <c r="AK123" s="10" t="n"/>
      <c r="AL123" s="12" t="n"/>
      <c r="AM123" s="10" t="n"/>
      <c r="AN123" s="10" t="n"/>
      <c r="AO123" s="10" t="inlineStr">
        <is>
          <t>Sin crédito de personal individual verificado</t>
        </is>
      </c>
      <c r="AP123" s="10" t="n"/>
      <c r="AQ123" s="12" t="n"/>
      <c r="AR123" s="10" t="n"/>
      <c r="AS123" s="10" t="n"/>
      <c r="AT123" s="10" t="n"/>
      <c r="AU123" s="10" t="n"/>
      <c r="AV123" s="10" t="inlineStr">
        <is>
          <t>Sin ejecución individual verificada</t>
        </is>
      </c>
      <c r="AW123" s="10" t="inlineStr">
        <is>
          <t>Sin importe individual verificado; vacío no significa cero</t>
        </is>
      </c>
      <c r="AX123" s="14" t="n"/>
      <c r="AY123" s="14" t="n"/>
      <c r="AZ123" s="14" t="n"/>
      <c r="BA123" s="14" t="n"/>
      <c r="BB123" s="14" t="n"/>
      <c r="BC123" s="10" t="inlineStr">
        <is>
          <t>Revisado: AGENEX: apoyo energético</t>
        </is>
      </c>
      <c r="BD123" s="10" t="inlineStr">
        <is>
          <t>Propone planes/programas, asesoramiento y ejecución energía; no consentimiento general a leyes.</t>
        </is>
      </c>
      <c r="BE123" s="10" t="inlineStr">
        <is>
          <t>No consentimiento favorable ni veto legislativo establecido en las cláusulas revisadas.</t>
        </is>
      </c>
      <c r="BF123" s="10" t="inlineStr">
        <is>
          <t>Revisión limitada a las atribuciones citadas: no descarta trámites sectoriales en otras normas.</t>
        </is>
      </c>
      <c r="BG123" s="10" t="inlineStr">
        <is>
          <t>Ley1/2026 art3</t>
        </is>
      </c>
      <c r="BH123" s="10" t="inlineStr">
        <is>
          <t>https://www.boe.es/diario_boe/txt.php?id=BOE-A-2026-15131</t>
        </is>
      </c>
      <c r="BI123" s="12" t="n"/>
      <c r="BJ123" s="12" t="n"/>
      <c r="BK123" s="12" t="n"/>
      <c r="BL123" s="12" t="n"/>
      <c r="BM123" s="10" t="n"/>
      <c r="BN123" s="10" t="n"/>
      <c r="BO123" s="12" t="n"/>
      <c r="BP123" s="12" t="n"/>
      <c r="BQ123" s="12" t="n"/>
      <c r="BR123" s="12" t="n"/>
      <c r="BS123" s="12" t="n"/>
      <c r="BT123" s="12" t="n"/>
      <c r="BU123" s="12" t="n"/>
      <c r="BV123" s="27" t="inlineStr">
        <is>
          <t>No útil</t>
        </is>
      </c>
      <c r="BW123" s="27" t="inlineStr">
        <is>
          <t>Integrar</t>
        </is>
      </c>
      <c r="BX123" s="27" t="inlineStr">
        <is>
          <t>Financiación y ayudas</t>
        </is>
      </c>
      <c r="BY123" s="27" t="inlineStr">
        <is>
          <t>Paralelo a IDAE: cada nivel actúa con sus propios fondos o competencias. 11 organismos sobre este tema entre el Estado y las CCAA (verificados).</t>
        </is>
      </c>
      <c r="BZ123" s="27" t="inlineStr">
        <is>
          <t>No</t>
        </is>
      </c>
      <c r="CA123" s="27" t="inlineStr">
        <is>
          <t>Parcial</t>
        </is>
      </c>
      <c r="CB123" s="27" t="inlineStr">
        <is>
          <t>Agencia autonómica de energía; el IDAE ya actúa en todo el territorio.</t>
        </is>
      </c>
      <c r="CC123" s="27" t="inlineStr">
        <is>
          <t>Aplicando el criterio del P100: Criterio Extramuros del 12/10/2026</t>
        </is>
      </c>
      <c r="CD123" s="27" t="inlineStr">
        <is>
          <t>Instituto para la Diversificación y Ahorro de la Energía (IDAE) y la consejería</t>
        </is>
      </c>
      <c r="CE123" s="27" t="inlineStr">
        <is>
          <t>Agencias de la energía</t>
        </is>
      </c>
      <c r="CF123" s="28" t="n">
        <v>11</v>
      </c>
      <c r="CG123" s="12" t="n"/>
      <c r="CH123" s="29">
        <f>IF(AND(ISNUMBER(BP123),ISNUMBER(AG123),AG123&gt;0),BP123*1000000/AG123,"")</f>
        <v/>
      </c>
      <c r="CI123" s="12" t="n"/>
      <c r="CJ123" s="12" t="n"/>
      <c r="CK123" s="12" t="n"/>
      <c r="CL123" s="12" t="n"/>
      <c r="CM123" s="12" t="n"/>
      <c r="CN123" s="12" t="n"/>
      <c r="CO123" s="12" t="n"/>
      <c r="CP123" s="12" t="n"/>
      <c r="CQ123" s="12" t="n"/>
      <c r="CR123" s="12" t="n"/>
      <c r="CS123" s="12" t="n"/>
    </row>
    <row r="124">
      <c r="A124" s="10" t="n">
        <v>123</v>
      </c>
      <c r="B124" s="10" t="inlineStr">
        <is>
          <t>Autonómico</t>
        </is>
      </c>
      <c r="C124" s="10" t="inlineStr">
        <is>
          <t>Cantabria</t>
        </is>
      </c>
      <c r="D124" s="10" t="inlineStr">
        <is>
          <t>Sánchez</t>
        </is>
      </c>
      <c r="E124" s="10" t="inlineStr">
        <is>
          <t>Observatorio de Igualdad de Género de Cantabria</t>
        </is>
      </c>
      <c r="F124" s="10" t="inlineStr">
        <is>
          <t>Órgano colegiado adscrito a la consejería, sin participar en su estructura jerárquica</t>
        </is>
      </c>
      <c r="G124" s="10" t="inlineStr">
        <is>
          <t>2020-08-13</t>
        </is>
      </c>
      <c r="H124" s="10" t="inlineStr">
        <is>
          <t>Decreto 53/2020, de 13 de agosto (CVE-2020-6008)</t>
        </is>
      </c>
      <c r="I124" s="10" t="inlineStr">
        <is>
          <t>Recoger datos, informar, evaluar políticas y proponer medidas en igualdad y violencia contra las mujeres.</t>
        </is>
      </c>
      <c r="J124" s="10" t="inlineStr">
        <is>
          <t>Capacidad consultiva, de análisis y evaluación; la norma no le atribuye sanciones ni ejecución de políticas.</t>
        </is>
      </c>
      <c r="K124" s="11" t="n"/>
      <c r="L124" s="10" t="n"/>
      <c r="M124" s="10" t="n"/>
      <c r="N124" s="10" t="n"/>
      <c r="O124" s="10" t="inlineStr">
        <is>
          <t>Sin cifra propia actual verificada</t>
        </is>
      </c>
      <c r="P124" s="12" t="n"/>
      <c r="Q124" s="12" t="n"/>
      <c r="R124" s="10" t="inlineStr">
        <is>
          <t>Sin importe propio verificado. Artículo 10: apoyo administrativo y material de la dirección general; artículo 8.6: asistir a reuniones no genera remuneración ni indemnización. Esto NO equivale a coste total cero.</t>
        </is>
      </c>
      <c r="S124" s="10" t="inlineStr">
        <is>
          <t>Revisión 11/10/2026</t>
        </is>
      </c>
      <c r="T124" s="10" t="inlineStr">
        <is>
          <t>Creación legal verificada; puesta en funcionamiento y actividad efectiva a 11/10/2026 no confirmadas en esta revisión.</t>
        </is>
      </c>
      <c r="U124" s="10" t="inlineStr">
        <is>
          <t>Capacidad legal distinta de eficacia práctica. No se ha verificado plantilla ocupada ni gasto ejecutado individual.</t>
        </is>
      </c>
      <c r="V124" s="10" t="inlineStr">
        <is>
          <t>Ámbito temático compartido; jurisdicción y facultades distintas</t>
        </is>
      </c>
      <c r="W124" s="10" t="inlineStr">
        <is>
          <t>13, 14</t>
        </is>
      </c>
      <c r="X124" s="10" t="inlineStr">
        <is>
          <t>Violencia de género e igualdad: observatorio consultivo cántabro, observatorio estatal y delegación ejecutiva estatal. No se demuestra gasto duplicado.</t>
        </is>
      </c>
      <c r="Y124" s="10" t="inlineStr">
        <is>
          <t>https://www.boe.es/eli/es/lo/2004/12/28/1
https://violenciagenero.igualdad.gob.es/violenciaencifras/observatorio/informesanuales/xviii-informe-anual-del-observatorio-estatal-de-violencia-sobre-la-mujer-2024/
https://boc.cantabria.es/boces/verAnuncioAction.do?idAnuBlob=352798</t>
        </is>
      </c>
      <c r="Z124" s="30" t="inlineStr">
        <is>
          <t>https://boc.cantabria.es/boces/verAnuncioAction.do?idAnuBlob=352798
https://laadministracionaldia.inap.es/noticia.asp?id=1201913</t>
        </is>
      </c>
      <c r="AA124" s="12" t="n"/>
      <c r="AB124" s="10" t="n"/>
      <c r="AC124" s="10" t="n"/>
      <c r="AD124" s="10" t="n"/>
      <c r="AE124" s="13" t="inlineStr">
        <is>
          <t>https://files.instinct.com/q91pr53q4umo-entidades-publicas-poder-y-presupuesto</t>
        </is>
      </c>
      <c r="AF124" s="10" t="inlineStr">
        <is>
          <t>12/10/2026</t>
        </is>
      </c>
      <c r="AG124" s="10" t="n"/>
      <c r="AH124" s="10" t="n"/>
      <c r="AI124" s="10" t="inlineStr">
        <is>
          <t>Personas ocupadas; no confundir miembros del órgano con empleados</t>
        </is>
      </c>
      <c r="AJ124" s="10" t="inlineStr">
        <is>
          <t>Sin cifra individual verificada en esta revisión</t>
        </is>
      </c>
      <c r="AK124" s="10" t="n"/>
      <c r="AL124" s="12" t="n"/>
      <c r="AM124" s="10" t="n"/>
      <c r="AN124" s="10" t="n"/>
      <c r="AO124" s="10" t="inlineStr">
        <is>
          <t>Sin crédito de personal individual verificado</t>
        </is>
      </c>
      <c r="AP124" s="10" t="n"/>
      <c r="AQ124" s="12" t="n"/>
      <c r="AR124" s="10" t="n"/>
      <c r="AS124" s="10" t="n"/>
      <c r="AT124" s="10" t="n"/>
      <c r="AU124" s="10" t="n"/>
      <c r="AV124" s="10" t="inlineStr">
        <is>
          <t>Sin ejecución individual verificada</t>
        </is>
      </c>
      <c r="AW124" s="10" t="inlineStr">
        <is>
          <t>Sin importe individual verificado; vacío no significa cero</t>
        </is>
      </c>
      <c r="AX124" s="14" t="n"/>
      <c r="AY124" s="14" t="n"/>
      <c r="AZ124" s="14" t="n"/>
      <c r="BA124" s="14" t="n"/>
      <c r="BB124" s="14" t="inlineStr">
        <is>
          <t>Art.10: apoyo administrativo y material desde dirección general; art.8.6: reuniones sin remuneración. Empleados y coste de apoyo no cuantificados.</t>
        </is>
      </c>
      <c r="BC124" s="10" t="inlineStr">
        <is>
          <t>Funciones consultivas revisadas: Seguimiento, evaluación, recomendaciones e informes sobre asuntos sometidos a su criterio</t>
        </is>
      </c>
      <c r="BD124" s="10" t="inlineStr">
        <is>
          <t>No trámite obligatorio general de aprobación de leyes identificado en las funciones revisadas</t>
        </is>
      </c>
      <c r="BE124" s="10" t="inlineStr">
        <is>
          <t>No consentimiento favorable obligatorio o vinculación identificado en dichas funciones</t>
        </is>
      </c>
      <c r="BF124" s="10" t="inlineStr">
        <is>
          <t>No veto legal a aprobación de leyes atribuido por las funciones revisadas. Alcance limitado a norma revisada, no certificación de ausencia de cualquier norma sectorial posterior.</t>
        </is>
      </c>
      <c r="BG124" s="10" t="inlineStr">
        <is>
          <t>Decreto 53/2020 arts 3,4</t>
        </is>
      </c>
      <c r="BH124" s="10" t="inlineStr">
        <is>
          <t>https://boc.cantabria.es/boces/verAnuncioAction.do?idAnuBlob=352798</t>
        </is>
      </c>
      <c r="BI124" s="12" t="n"/>
      <c r="BJ124" s="12" t="n"/>
      <c r="BK124" s="12" t="n"/>
      <c r="BL124" s="12" t="n"/>
      <c r="BM124" s="10" t="n"/>
      <c r="BN124" s="10" t="n"/>
      <c r="BO124" s="12" t="n"/>
      <c r="BP124" s="12" t="n"/>
      <c r="BQ124" s="12" t="n"/>
      <c r="BR124" s="12" t="n"/>
      <c r="BS124" s="12" t="n"/>
      <c r="BT124" s="12" t="n"/>
      <c r="BU124" s="12" t="n"/>
      <c r="BV124" s="27" t="inlineStr">
        <is>
          <t>No útil</t>
        </is>
      </c>
      <c r="BW124" s="27" t="inlineStr">
        <is>
          <t>Suprimir</t>
        </is>
      </c>
      <c r="BX124" s="27" t="inlineStr">
        <is>
          <t>Consultivo o participación</t>
        </is>
      </c>
      <c r="BY124" s="27" t="inlineStr">
        <is>
          <t>Paralelo a Observatorio Estatal de Violencia sobre la Mujer: cada nivel actúa con sus propios fondos o competencias. 11 organismos sobre este tema entre el Estado y las CCAA (verificados).</t>
        </is>
      </c>
      <c r="BZ124" s="27" t="inlineStr">
        <is>
          <t>No</t>
        </is>
      </c>
      <c r="CA124" s="27" t="inlineStr">
        <is>
          <t>No acreditada</t>
        </is>
      </c>
      <c r="CB124" s="27" t="inlineStr">
        <is>
          <t>Órgano consultivo sin medios propios: su producto son informes y reuniones, que el P100 no cuenta como resultado.</t>
        </is>
      </c>
      <c r="CC124" s="27" t="inlineStr">
        <is>
          <t>Aplicando el criterio del P100: Costes del Estado 2 (aplicado a las CCAA)</t>
        </is>
      </c>
      <c r="CD124" s="27" t="inlineStr">
        <is>
          <t>Consejería autonómica competente</t>
        </is>
      </c>
      <c r="CE124" s="27" t="inlineStr">
        <is>
          <t>Observatorios de igualdad y violencia de género</t>
        </is>
      </c>
      <c r="CF124" s="28" t="n">
        <v>11</v>
      </c>
      <c r="CG124" s="27" t="inlineStr">
        <is>
          <t>Apoyo: La DG competente en igualdad y mujer presta el apoyo administrativo y material (art. 10 Decreto 53/2020); secretaría a cargo de un funcionario designado por esa DG. vocales: 20. miembros: no retribuidos (art. 8.6 Decreto 53/2020: la asistencia «no genera ningún derecho económico en concepto de remuneración o indemnización»).</t>
        </is>
      </c>
      <c r="CH124" s="29">
        <f>IF(AND(ISNUMBER(BP124),ISNUMBER(AG124),AG124&gt;0),BP124*1000000/AG124,"")</f>
        <v/>
      </c>
      <c r="CI124" s="12" t="n"/>
      <c r="CJ124" s="12" t="n"/>
      <c r="CK124" s="12" t="n"/>
      <c r="CL124" s="12" t="n"/>
      <c r="CM124" s="12" t="n"/>
      <c r="CN124" s="12" t="n"/>
      <c r="CO124" s="12" t="n"/>
      <c r="CP124" s="12" t="n"/>
      <c r="CQ124" s="12" t="n"/>
      <c r="CR124" s="12" t="n"/>
      <c r="CS124" s="12" t="n"/>
    </row>
    <row r="125">
      <c r="A125" s="10" t="n">
        <v>124</v>
      </c>
      <c r="B125" s="10" t="inlineStr">
        <is>
          <t>Autonómico</t>
        </is>
      </c>
      <c r="C125" s="10" t="inlineStr">
        <is>
          <t>Illes Balears</t>
        </is>
      </c>
      <c r="D125" s="10" t="inlineStr">
        <is>
          <t>Sánchez</t>
        </is>
      </c>
      <c r="E125" s="10" t="inlineStr">
        <is>
          <t>Agencia Balear de Digitalización, Ciberseguridad y Telecomunicaciones (ABDigital)</t>
        </is>
      </c>
      <c r="F125" s="10" t="inlineStr">
        <is>
          <t>Transformación EPE a organismoautónomo2026; integraciónparcial de IBIT yotrosentes, no creaciónfuncionalexnovo</t>
        </is>
      </c>
      <c r="G125" s="10" t="inlineStr">
        <is>
          <t>2025-07-23; efectos2026-01-01</t>
        </is>
      </c>
      <c r="H125" s="10" t="inlineStr">
        <is>
          <t>Ley6/2025 DF5 modifica art38Ley18/2016; Decreto63/2025 estatutos</t>
        </is>
      </c>
      <c r="I125" s="10" t="inlineStr">
        <is>
          <t>Sistemas/serviciosTIC, digitalizaciónadministrativa, ciberseguridad, telecomunicaciones y comunicacionesseguridad/emergencias.</t>
        </is>
      </c>
      <c r="J125" s="10" t="inlineStr">
        <is>
          <t>Potestadesadministrativas para ejecución/gestión y fomento, exceptuadaexpropiación; medio propio yserviciotécnico. LeyDF5/estatutoarts3-6.</t>
        </is>
      </c>
      <c r="K125" s="11" t="n">
        <v>50.694693</v>
      </c>
      <c r="L125" s="10" t="n">
        <v>2026</v>
      </c>
      <c r="M125" s="10" t="inlineStr">
        <is>
          <t>Presupuesto propio aprobado</t>
        </is>
      </c>
      <c r="N125" s="10" t="inlineStr">
        <is>
          <t>2026 presupuesto, no ejecución</t>
        </is>
      </c>
      <c r="O125" s="10" t="inlineStr">
        <is>
          <t>Cifra propia verificada</t>
        </is>
      </c>
      <c r="P125" s="12" t="n">
        <v>50.694693</v>
      </c>
      <c r="Q125" s="12" t="n"/>
      <c r="R125" s="10" t="inlineStr">
        <is>
          <t>Total50.694693M; cap1personal22.553642M, cap2servicios9.113680M, cap6inversiones19.027371M. No cap7. TotalEPE2025 anterior14.545724M no comparable sin cambiosperímetro; no sumar presupuestosIBIT.</t>
        </is>
      </c>
      <c r="S125" s="10" t="inlineStr">
        <is>
          <t>PDFCAIB2026 comprobado11/10/2026</t>
        </is>
      </c>
      <c r="T125" s="10" t="inlineStr">
        <is>
          <t>ReformaOA vigente desde01/01/2026; secciónpresupuestariapropia2026. Actividadindividual no auditadaexhaustivamente.</t>
        </is>
      </c>
      <c r="U125" s="10" t="inlineStr">
        <is>
          <t>OrigenEPE2016/2017, cambio nombre2024 y transformaciónOA2026. IBIT integra personal/funciones seleccionados, no fundaciónconvertida íntegramente.</t>
        </is>
      </c>
      <c r="V125" s="10" t="inlineStr">
        <is>
          <t>Sucesión y concentración de funciones</t>
        </is>
      </c>
      <c r="W125" s="10" t="n"/>
      <c r="X125" s="10" t="inlineStr">
        <is>
          <t>SucesoraEPEABDigital; absorciónparcialTIC deIBIT yotrosentes. Coincidencia funcional no prueba desperdicio ni doblefinanciación.</t>
        </is>
      </c>
      <c r="Y125" s="10" t="inlineStr">
        <is>
          <t>https://www.caib.es/eboibfront/eli/es-ib/d/2025/12/19/63/dof/spa/pdf</t>
        </is>
      </c>
      <c r="Z125" s="10" t="inlineStr">
        <is>
          <t>https://www.boe.es/diario_boe/txt.php?id=BOE-A-2025-22028
https://www.caib.es/eboibfront/eli/es-ib/d/2025/12/19/63/dof/spa/pdf
https://www.caib.es/sites/pressuposts/f/540093</t>
        </is>
      </c>
      <c r="AA125" s="12" t="n"/>
      <c r="AB125" s="10" t="n"/>
      <c r="AC125" s="10" t="n"/>
      <c r="AD125" s="10" t="n"/>
      <c r="AE125" s="10" t="inlineStr">
        <is>
          <t>https://www.caib.es/sites/pressuposts/f/540093</t>
        </is>
      </c>
      <c r="AF125" s="10" t="inlineStr">
        <is>
          <t>12/10/2026</t>
        </is>
      </c>
      <c r="AG125" s="10" t="n"/>
      <c r="AH125" s="10" t="n"/>
      <c r="AI125" s="10" t="n"/>
      <c r="AJ125" s="10" t="n"/>
      <c r="AK125" s="10" t="n"/>
      <c r="AL125" s="12" t="n">
        <v>22.553642</v>
      </c>
      <c r="AM125" s="10" t="n">
        <v>2026</v>
      </c>
      <c r="AN125" s="10" t="inlineStr">
        <is>
          <t>Cap1 crédito presupuestado sección72; no nóminapagada</t>
        </is>
      </c>
      <c r="AO125" s="10" t="inlineStr">
        <is>
          <t>Verificado en PDFoficial, página2</t>
        </is>
      </c>
      <c r="AP125" s="10" t="inlineStr">
        <is>
          <t>https://www.caib.es/sites/pressuposts/f/540093</t>
        </is>
      </c>
      <c r="AQ125" s="12" t="n"/>
      <c r="AR125" s="10" t="n"/>
      <c r="AS125" s="10" t="n"/>
      <c r="AT125" s="10" t="n"/>
      <c r="AU125" s="10" t="n"/>
      <c r="AV125" s="10" t="n"/>
      <c r="AW125" s="10" t="inlineStr">
        <is>
          <t>Presupuesto ycap1 propios2026 verificados; ocupacióny ejecución no verificadas.</t>
        </is>
      </c>
      <c r="AX125" s="14" t="n"/>
      <c r="AY125" s="14" t="n"/>
      <c r="AZ125" s="14" t="n"/>
      <c r="BA125" s="14" t="n"/>
      <c r="BB125" s="14" t="inlineStr">
        <is>
          <t>DAsegundaDecreto63/2025: subrogación personalEPE ypersonalIBIT/otrosentes ligado funciones; no cifraocupados inferida.</t>
        </is>
      </c>
      <c r="BC125" s="10" t="inlineStr">
        <is>
          <t>Revisado: asistencia técnica ygestión digital</t>
        </is>
      </c>
      <c r="BD125" s="10" t="inlineStr">
        <is>
          <t>No informe preceptivo general deleyes identificado en funcionesestatutoart4. Excluye simplificaciónnormativa(4.1b).</t>
        </is>
      </c>
      <c r="BE125" s="10" t="inlineStr">
        <is>
          <t>No consentimiento favorable ni veto normativo general establecido en cláusulasrevisadas.</t>
        </is>
      </c>
      <c r="BF125" s="10" t="inlineStr">
        <is>
          <t>Asesoramiento/serviciostécnicos no vetoparlamentario. Revisiónacotadaestatuto, no auditoríatodareglasectorial.</t>
        </is>
      </c>
      <c r="BG125" s="10" t="inlineStr">
        <is>
          <t>Decreto63/2025 estatutoarts3,4,6</t>
        </is>
      </c>
      <c r="BH125" s="10" t="inlineStr">
        <is>
          <t>https://www.caib.es/eboibfront/eli/es-ib/d/2025/12/19/63/dof/spa/pdf</t>
        </is>
      </c>
      <c r="BI125" s="12" t="n"/>
      <c r="BJ125" s="12" t="n"/>
      <c r="BK125" s="12" t="n"/>
      <c r="BL125" s="12" t="n"/>
      <c r="BM125" s="10" t="n"/>
      <c r="BN125" s="10" t="n"/>
      <c r="BO125" s="12" t="n"/>
      <c r="BP125" s="12" t="n"/>
      <c r="BQ125" s="12" t="n"/>
      <c r="BR125" s="12" t="n"/>
      <c r="BS125" s="12" t="n"/>
      <c r="BT125" s="12" t="n"/>
      <c r="BU125" s="12" t="n"/>
      <c r="BV125" s="27" t="inlineStr">
        <is>
          <t>No útil</t>
        </is>
      </c>
      <c r="BW125" s="27" t="inlineStr">
        <is>
          <t>Integrar</t>
        </is>
      </c>
      <c r="BX125" s="27" t="inlineStr">
        <is>
          <t>Servicio público directo</t>
        </is>
      </c>
      <c r="BY125" s="27" t="inlineStr">
        <is>
          <t>Competencia autonómica que el Estado no presta en ese territorio; la duplicidad es de forma (agencia propia o dirección general). 10 organismos sobre este tema entre el Estado y las CCAA (verificados).</t>
        </is>
      </c>
      <c r="BZ125" s="27" t="inlineStr">
        <is>
          <t>No</t>
        </is>
      </c>
      <c r="CA125" s="27" t="inlineStr">
        <is>
          <t>Parcial</t>
        </is>
      </c>
      <c r="CB125" s="27" t="inlineStr">
        <is>
          <t>Agencia digital autonómica: el P100 hace una sola web y una sola aplicación para todo el Estado, a la que se suman las comunidades.</t>
        </is>
      </c>
      <c r="CC125" s="27" t="inlineStr">
        <is>
          <t>Explícito en el P100: Organización del Estado 17 y criterio Extramuros del 12/10/2026 («con una nacional basta»)</t>
        </is>
      </c>
      <c r="CD125" s="27" t="inlineStr">
        <is>
          <t>Agencia Estatal de Administración Digital (AEAD) y web única del Estado</t>
        </is>
      </c>
      <c r="CE125" s="27" t="inlineStr">
        <is>
          <t>Agencias de administración digital y TIC</t>
        </is>
      </c>
      <c r="CF125" s="28" t="n">
        <v>10</v>
      </c>
      <c r="CG125" s="12" t="n"/>
      <c r="CH125" s="29">
        <f>IF(AND(ISNUMBER(BP125),ISNUMBER(AG125),AG125&gt;0),BP125*1000000/AG125,"")</f>
        <v/>
      </c>
      <c r="CI125" s="12" t="n"/>
      <c r="CJ125" s="12" t="n"/>
      <c r="CK125" s="12" t="n"/>
      <c r="CL125" s="12" t="n"/>
      <c r="CM125" s="12" t="n"/>
      <c r="CN125" s="12" t="n"/>
      <c r="CO125" s="12" t="n"/>
      <c r="CP125" s="12" t="n"/>
      <c r="CQ125" s="12" t="n"/>
      <c r="CR125" s="12" t="n"/>
      <c r="CS125" s="12" t="n"/>
    </row>
    <row r="126">
      <c r="A126" s="10" t="n">
        <v>125</v>
      </c>
      <c r="B126" s="10" t="inlineStr">
        <is>
          <t>Autonómico</t>
        </is>
      </c>
      <c r="C126" s="10" t="inlineStr">
        <is>
          <t>Illes Balears</t>
        </is>
      </c>
      <c r="D126" s="10" t="inlineStr">
        <is>
          <t>Sánchez</t>
        </is>
      </c>
      <c r="E126" s="10" t="inlineStr">
        <is>
          <t>Instituto Balear de la Energía (IBE)</t>
        </is>
      </c>
      <c r="F126" s="10" t="inlineStr">
        <is>
          <t>Creación legal2019 como entidadpúblicaempresarial</t>
        </is>
      </c>
      <c r="G126" s="10" t="inlineStr">
        <is>
          <t>2019-02-22</t>
        </is>
      </c>
      <c r="H126" s="10" t="inlineStr">
        <is>
          <t>Ley10/2019 art8; Decreto83/2019 estatutos</t>
        </is>
      </c>
      <c r="I126" s="10" t="inlineStr">
        <is>
          <t>Eficiencia/ahorro/renovables, iniciativaenergéticapública, comercializaciónenergía, estudiosclimáticos y apoyoenergético municipios.</t>
        </is>
      </c>
      <c r="J126" s="10" t="inlineStr">
        <is>
          <t>Promueve/gestiona proyectosenergía, participa sociedades yayudas; colaboración/datos obligatorios art8.6. PotestadesEPE salvoexpropiación; no reguladorgeneral energético.</t>
        </is>
      </c>
      <c r="K126" s="11" t="n">
        <v>25.8955</v>
      </c>
      <c r="L126" s="10" t="n">
        <v>2025</v>
      </c>
      <c r="M126" s="10" t="inlineStr">
        <is>
          <t>Presupuesto propio aprobado</t>
        </is>
      </c>
      <c r="N126" s="10" t="inlineStr">
        <is>
          <t>2025, presupuesto inicial aprobado; no2026 ni ejecución</t>
        </is>
      </c>
      <c r="O126" s="10" t="inlineStr">
        <is>
          <t>Cifra propia2025 verificada; actual2026 pendiente</t>
        </is>
      </c>
      <c r="P126" s="12" t="n">
        <v>25.8955</v>
      </c>
      <c r="Q126" s="12" t="n"/>
      <c r="R126" s="10" t="inlineStr">
        <is>
          <t>Total2025 25.895500M EUR. Cap1 1.085125M; cap2 2.441375M; cap6 22.369000M. NO cap7. No interpretar como actual2026 ni como gastoefectivamente ejecutado.</t>
        </is>
      </c>
      <c r="S126" s="10" t="inlineStr">
        <is>
          <t>Anexo8 Ley6/2025 CAIB2025, comprobado11/10/2026</t>
        </is>
      </c>
      <c r="T126" s="10" t="inlineStr">
        <is>
          <t>Creación2019 yestatutosaprobados; presupuestoEPEpropio2025 publicado. Operación2026 no auditadaindividualmente.</t>
        </is>
      </c>
      <c r="U126" s="10" t="inlineStr">
        <is>
          <t>Basepresupuestaria2025, no2026; alcanceparcial decontrolestadoactual.</t>
        </is>
      </c>
      <c r="V126" s="10" t="inlineStr">
        <is>
          <t>Competencias compartidas / complementariedad posible</t>
        </is>
      </c>
      <c r="W126" s="10" t="inlineStr">
        <is>
          <t>119;122</t>
        </is>
      </c>
      <c r="X126" s="10" t="inlineStr">
        <is>
          <t>Mandatoenergético comparable a otros entesregionales, en territoriosdistintos. Paralelismono prueba financiaciónduplicada.</t>
        </is>
      </c>
      <c r="Y126" s="10" t="inlineStr">
        <is>
          <t>https://www.boe.es/buscar/pdf/2019/BOE-A-2019-5579-consolidado.pdf</t>
        </is>
      </c>
      <c r="Z126" s="10" t="inlineStr">
        <is>
          <t>https://www.boe.es/buscar/pdf/2019/BOE-A-2019-5579-consolidado.pdf
http://www.caib.es/eboibfront/pdf/ca/2019/139/1044876
https://www.caib.es/eboibfront/ConsultaAnnexe?idAnnexe=289609</t>
        </is>
      </c>
      <c r="AA126" s="12" t="n"/>
      <c r="AB126" s="10" t="n"/>
      <c r="AC126" s="10" t="n"/>
      <c r="AD126" s="10" t="n"/>
      <c r="AE126" s="10" t="inlineStr">
        <is>
          <t>https://www.caib.es/eboibfront/ConsultaAnnexe?idAnnexe=289609</t>
        </is>
      </c>
      <c r="AF126" s="10" t="inlineStr">
        <is>
          <t>12/10/2026</t>
        </is>
      </c>
      <c r="AG126" s="10" t="n"/>
      <c r="AH126" s="10" t="n"/>
      <c r="AI126" s="10" t="n"/>
      <c r="AJ126" s="10" t="n"/>
      <c r="AK126" s="10" t="n"/>
      <c r="AL126" s="12" t="n">
        <v>1.085125</v>
      </c>
      <c r="AM126" s="10" t="n">
        <v>2025</v>
      </c>
      <c r="AN126" s="10" t="inlineStr">
        <is>
          <t>Cap1 crédito inicial2025 anexo8; no nóminapagada</t>
        </is>
      </c>
      <c r="AO126" s="10" t="inlineStr">
        <is>
          <t>Verificado fuenteprimaria yvisual página15</t>
        </is>
      </c>
      <c r="AP126" s="10" t="inlineStr">
        <is>
          <t>https://www.caib.es/eboibfront/ConsultaAnnexe?idAnnexe=289609</t>
        </is>
      </c>
      <c r="AQ126" s="12" t="n"/>
      <c r="AR126" s="10" t="n"/>
      <c r="AS126" s="10" t="n"/>
      <c r="AT126" s="10" t="n"/>
      <c r="AU126" s="10" t="n"/>
      <c r="AV126" s="10" t="n"/>
      <c r="AW126" s="10" t="inlineStr">
        <is>
          <t>Presupuesto ycap1propios2025 verificados; ocupación/ejecución ypresupuesto2026 pendientes.</t>
        </is>
      </c>
      <c r="AX126" s="14" t="n"/>
      <c r="AY126" s="14" t="n"/>
      <c r="AZ126" s="14" t="n"/>
      <c r="BA126" s="14" t="n"/>
      <c r="BB126" s="14" t="n"/>
      <c r="BC126" s="10" t="inlineStr">
        <is>
          <t>Revisado: asesoramiento e informes técnicosenergéticos</t>
        </is>
      </c>
      <c r="BD126" s="10" t="inlineStr">
        <is>
          <t>Leyart8.4g,j,k,l yestatutoart4: informes/asesoramientotécnico. No informe preceptivo generaldeleyes identificado allí.</t>
        </is>
      </c>
      <c r="BE126" s="10" t="inlineStr">
        <is>
          <t>No consentimientofavorable ni vetolegalgeneral en cláusulasrevisadas.</t>
        </is>
      </c>
      <c r="BF126" s="10" t="inlineStr">
        <is>
          <t>InformesConsejoBalearClima/ComitéExpertos misma ley no poderIBA. Pasadacitada no descarta todareglasectorial.</t>
        </is>
      </c>
      <c r="BG126" s="10" t="inlineStr">
        <is>
          <t>Ley10/2019 art8; Decreto83/2019 estatutoart4</t>
        </is>
      </c>
      <c r="BH126" s="10" t="inlineStr">
        <is>
          <t>https://www.boe.es/buscar/pdf/2019/BOE-A-2019-5579-consolidado.pdf
http://www.caib.es/eboibfront/pdf/ca/2019/139/1044876</t>
        </is>
      </c>
      <c r="BI126" s="12" t="n"/>
      <c r="BJ126" s="12" t="n"/>
      <c r="BK126" s="12" t="n"/>
      <c r="BL126" s="12" t="n"/>
      <c r="BM126" s="10" t="n"/>
      <c r="BN126" s="10" t="n"/>
      <c r="BO126" s="12" t="n"/>
      <c r="BP126" s="12" t="n"/>
      <c r="BQ126" s="12" t="n"/>
      <c r="BR126" s="12" t="n"/>
      <c r="BS126" s="12" t="n"/>
      <c r="BT126" s="12" t="n"/>
      <c r="BU126" s="12" t="n"/>
      <c r="BV126" s="27" t="inlineStr">
        <is>
          <t>No útil</t>
        </is>
      </c>
      <c r="BW126" s="27" t="inlineStr">
        <is>
          <t>Integrar</t>
        </is>
      </c>
      <c r="BX126" s="27" t="inlineStr">
        <is>
          <t>Financiación y ayudas</t>
        </is>
      </c>
      <c r="BY126" s="27" t="inlineStr">
        <is>
          <t>Paralelo a IDAE: cada nivel actúa con sus propios fondos o competencias. 11 organismos sobre este tema entre el Estado y las CCAA (verificados).</t>
        </is>
      </c>
      <c r="BZ126" s="27" t="inlineStr">
        <is>
          <t>No</t>
        </is>
      </c>
      <c r="CA126" s="27" t="inlineStr">
        <is>
          <t>Parcial</t>
        </is>
      </c>
      <c r="CB126" s="27" t="inlineStr">
        <is>
          <t>Agencia autonómica de energía; el IDAE ya actúa en todo el territorio.</t>
        </is>
      </c>
      <c r="CC126" s="27" t="inlineStr">
        <is>
          <t>Aplicando el criterio del P100: Criterio Extramuros del 12/10/2026</t>
        </is>
      </c>
      <c r="CD126" s="27" t="inlineStr">
        <is>
          <t>Instituto para la Diversificación y Ahorro de la Energía (IDAE) y la consejería</t>
        </is>
      </c>
      <c r="CE126" s="27" t="inlineStr">
        <is>
          <t>Agencias de la energía</t>
        </is>
      </c>
      <c r="CF126" s="28" t="n">
        <v>11</v>
      </c>
      <c r="CG126" s="12" t="n"/>
      <c r="CH126" s="29">
        <f>IF(AND(ISNUMBER(BP126),ISNUMBER(AG126),AG126&gt;0),BP126*1000000/AG126,"")</f>
        <v/>
      </c>
      <c r="CI126" s="12" t="n"/>
      <c r="CJ126" s="12" t="n"/>
      <c r="CK126" s="12" t="n"/>
      <c r="CL126" s="12" t="n"/>
      <c r="CM126" s="12" t="n"/>
      <c r="CN126" s="12" t="n"/>
      <c r="CO126" s="12" t="n"/>
      <c r="CP126" s="12" t="n"/>
      <c r="CQ126" s="12" t="n"/>
      <c r="CR126" s="12" t="n"/>
      <c r="CS126" s="12" t="n"/>
    </row>
  </sheetData>
  <autoFilter ref="A1:CS126"/>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E19" r:id="rId18"/>
    <hyperlink xmlns:r="http://schemas.openxmlformats.org/officeDocument/2006/relationships" ref="AE20" r:id="rId19"/>
    <hyperlink xmlns:r="http://schemas.openxmlformats.org/officeDocument/2006/relationships" ref="AE21" r:id="rId20"/>
    <hyperlink xmlns:r="http://schemas.openxmlformats.org/officeDocument/2006/relationships" ref="AE22" r:id="rId21"/>
    <hyperlink xmlns:r="http://schemas.openxmlformats.org/officeDocument/2006/relationships" ref="AE23" r:id="rId22"/>
    <hyperlink xmlns:r="http://schemas.openxmlformats.org/officeDocument/2006/relationships" ref="AE24" r:id="rId23"/>
    <hyperlink xmlns:r="http://schemas.openxmlformats.org/officeDocument/2006/relationships" ref="AE25" r:id="rId24"/>
    <hyperlink xmlns:r="http://schemas.openxmlformats.org/officeDocument/2006/relationships" ref="AE26" r:id="rId25"/>
    <hyperlink xmlns:r="http://schemas.openxmlformats.org/officeDocument/2006/relationships" ref="AE27" r:id="rId26"/>
    <hyperlink xmlns:r="http://schemas.openxmlformats.org/officeDocument/2006/relationships" ref="AE28" r:id="rId27"/>
    <hyperlink xmlns:r="http://schemas.openxmlformats.org/officeDocument/2006/relationships" ref="AE29" r:id="rId28"/>
    <hyperlink xmlns:r="http://schemas.openxmlformats.org/officeDocument/2006/relationships" ref="AE30" r:id="rId29"/>
    <hyperlink xmlns:r="http://schemas.openxmlformats.org/officeDocument/2006/relationships" ref="AE31" r:id="rId30"/>
    <hyperlink xmlns:r="http://schemas.openxmlformats.org/officeDocument/2006/relationships" ref="AE32" r:id="rId31"/>
    <hyperlink xmlns:r="http://schemas.openxmlformats.org/officeDocument/2006/relationships" ref="AE33" r:id="rId32"/>
    <hyperlink xmlns:r="http://schemas.openxmlformats.org/officeDocument/2006/relationships" ref="AE34" r:id="rId33"/>
    <hyperlink xmlns:r="http://schemas.openxmlformats.org/officeDocument/2006/relationships" ref="AE35" r:id="rId34"/>
    <hyperlink xmlns:r="http://schemas.openxmlformats.org/officeDocument/2006/relationships" ref="AE36" r:id="rId35"/>
    <hyperlink xmlns:r="http://schemas.openxmlformats.org/officeDocument/2006/relationships" ref="AE37" r:id="rId36"/>
    <hyperlink xmlns:r="http://schemas.openxmlformats.org/officeDocument/2006/relationships" ref="AE38" r:id="rId37"/>
    <hyperlink xmlns:r="http://schemas.openxmlformats.org/officeDocument/2006/relationships" ref="AE39" r:id="rId38"/>
    <hyperlink xmlns:r="http://schemas.openxmlformats.org/officeDocument/2006/relationships" ref="AE40" r:id="rId39"/>
    <hyperlink xmlns:r="http://schemas.openxmlformats.org/officeDocument/2006/relationships" ref="AE41" r:id="rId40"/>
    <hyperlink xmlns:r="http://schemas.openxmlformats.org/officeDocument/2006/relationships" ref="AE42" r:id="rId41"/>
    <hyperlink xmlns:r="http://schemas.openxmlformats.org/officeDocument/2006/relationships" ref="AE43" r:id="rId42"/>
    <hyperlink xmlns:r="http://schemas.openxmlformats.org/officeDocument/2006/relationships" ref="AE44" r:id="rId43"/>
    <hyperlink xmlns:r="http://schemas.openxmlformats.org/officeDocument/2006/relationships" ref="AE45" r:id="rId44"/>
    <hyperlink xmlns:r="http://schemas.openxmlformats.org/officeDocument/2006/relationships" ref="AE46" r:id="rId45"/>
    <hyperlink xmlns:r="http://schemas.openxmlformats.org/officeDocument/2006/relationships" ref="AE47" r:id="rId46"/>
    <hyperlink xmlns:r="http://schemas.openxmlformats.org/officeDocument/2006/relationships" ref="AE48" r:id="rId47"/>
    <hyperlink xmlns:r="http://schemas.openxmlformats.org/officeDocument/2006/relationships" ref="AE49" r:id="rId48"/>
    <hyperlink xmlns:r="http://schemas.openxmlformats.org/officeDocument/2006/relationships" ref="AE50" r:id="rId49"/>
    <hyperlink xmlns:r="http://schemas.openxmlformats.org/officeDocument/2006/relationships" ref="AE51" r:id="rId50"/>
    <hyperlink xmlns:r="http://schemas.openxmlformats.org/officeDocument/2006/relationships" ref="AE52" r:id="rId51"/>
    <hyperlink xmlns:r="http://schemas.openxmlformats.org/officeDocument/2006/relationships" ref="AE53" r:id="rId52"/>
    <hyperlink xmlns:r="http://schemas.openxmlformats.org/officeDocument/2006/relationships" ref="AE54" r:id="rId53"/>
    <hyperlink xmlns:r="http://schemas.openxmlformats.org/officeDocument/2006/relationships" ref="AE55" r:id="rId54"/>
    <hyperlink xmlns:r="http://schemas.openxmlformats.org/officeDocument/2006/relationships" ref="AE56" r:id="rId55"/>
    <hyperlink xmlns:r="http://schemas.openxmlformats.org/officeDocument/2006/relationships" ref="AE57" r:id="rId56"/>
    <hyperlink xmlns:r="http://schemas.openxmlformats.org/officeDocument/2006/relationships" ref="AE58" r:id="rId57"/>
    <hyperlink xmlns:r="http://schemas.openxmlformats.org/officeDocument/2006/relationships" ref="AE59" r:id="rId58"/>
    <hyperlink xmlns:r="http://schemas.openxmlformats.org/officeDocument/2006/relationships" ref="AE60" r:id="rId59"/>
    <hyperlink xmlns:r="http://schemas.openxmlformats.org/officeDocument/2006/relationships" ref="AE61" r:id="rId60"/>
    <hyperlink xmlns:r="http://schemas.openxmlformats.org/officeDocument/2006/relationships" ref="AE62" r:id="rId61"/>
    <hyperlink xmlns:r="http://schemas.openxmlformats.org/officeDocument/2006/relationships" ref="AE63" r:id="rId62"/>
    <hyperlink xmlns:r="http://schemas.openxmlformats.org/officeDocument/2006/relationships" ref="AE64" r:id="rId63"/>
    <hyperlink xmlns:r="http://schemas.openxmlformats.org/officeDocument/2006/relationships" ref="AE65" r:id="rId64"/>
    <hyperlink xmlns:r="http://schemas.openxmlformats.org/officeDocument/2006/relationships" ref="AE66" r:id="rId65"/>
    <hyperlink xmlns:r="http://schemas.openxmlformats.org/officeDocument/2006/relationships" ref="AE67" r:id="rId66"/>
    <hyperlink xmlns:r="http://schemas.openxmlformats.org/officeDocument/2006/relationships" ref="AE68" r:id="rId67"/>
    <hyperlink xmlns:r="http://schemas.openxmlformats.org/officeDocument/2006/relationships" ref="AE69" r:id="rId68"/>
    <hyperlink xmlns:r="http://schemas.openxmlformats.org/officeDocument/2006/relationships" ref="AE70" r:id="rId69"/>
    <hyperlink xmlns:r="http://schemas.openxmlformats.org/officeDocument/2006/relationships" ref="AE71" r:id="rId70"/>
    <hyperlink xmlns:r="http://schemas.openxmlformats.org/officeDocument/2006/relationships" ref="AE72" r:id="rId71"/>
    <hyperlink xmlns:r="http://schemas.openxmlformats.org/officeDocument/2006/relationships" ref="AE73" r:id="rId72"/>
    <hyperlink xmlns:r="http://schemas.openxmlformats.org/officeDocument/2006/relationships" ref="AE74" r:id="rId73"/>
    <hyperlink xmlns:r="http://schemas.openxmlformats.org/officeDocument/2006/relationships" ref="AE75" r:id="rId74"/>
    <hyperlink xmlns:r="http://schemas.openxmlformats.org/officeDocument/2006/relationships" ref="AE76" r:id="rId75"/>
    <hyperlink xmlns:r="http://schemas.openxmlformats.org/officeDocument/2006/relationships" ref="AE77" r:id="rId76"/>
    <hyperlink xmlns:r="http://schemas.openxmlformats.org/officeDocument/2006/relationships" ref="AE78" r:id="rId77"/>
    <hyperlink xmlns:r="http://schemas.openxmlformats.org/officeDocument/2006/relationships" ref="AE79" r:id="rId78"/>
    <hyperlink xmlns:r="http://schemas.openxmlformats.org/officeDocument/2006/relationships" ref="AE80" r:id="rId79"/>
    <hyperlink xmlns:r="http://schemas.openxmlformats.org/officeDocument/2006/relationships" ref="AE81" r:id="rId80"/>
    <hyperlink xmlns:r="http://schemas.openxmlformats.org/officeDocument/2006/relationships" ref="AE82" r:id="rId81"/>
    <hyperlink xmlns:r="http://schemas.openxmlformats.org/officeDocument/2006/relationships" ref="AE83" r:id="rId82"/>
    <hyperlink xmlns:r="http://schemas.openxmlformats.org/officeDocument/2006/relationships" ref="AE84" r:id="rId83"/>
    <hyperlink xmlns:r="http://schemas.openxmlformats.org/officeDocument/2006/relationships" ref="AE85" r:id="rId84"/>
    <hyperlink xmlns:r="http://schemas.openxmlformats.org/officeDocument/2006/relationships" ref="AE86" r:id="rId85"/>
    <hyperlink xmlns:r="http://schemas.openxmlformats.org/officeDocument/2006/relationships" ref="AE87" r:id="rId86"/>
    <hyperlink xmlns:r="http://schemas.openxmlformats.org/officeDocument/2006/relationships" ref="AE88" r:id="rId87"/>
    <hyperlink xmlns:r="http://schemas.openxmlformats.org/officeDocument/2006/relationships" ref="AE89" r:id="rId88"/>
    <hyperlink xmlns:r="http://schemas.openxmlformats.org/officeDocument/2006/relationships" ref="AE90" r:id="rId89"/>
    <hyperlink xmlns:r="http://schemas.openxmlformats.org/officeDocument/2006/relationships" ref="AE91" r:id="rId90"/>
    <hyperlink xmlns:r="http://schemas.openxmlformats.org/officeDocument/2006/relationships" ref="AE92" r:id="rId91"/>
    <hyperlink xmlns:r="http://schemas.openxmlformats.org/officeDocument/2006/relationships" ref="AE93" r:id="rId92"/>
    <hyperlink xmlns:r="http://schemas.openxmlformats.org/officeDocument/2006/relationships" ref="AE94" r:id="rId93"/>
    <hyperlink xmlns:r="http://schemas.openxmlformats.org/officeDocument/2006/relationships" ref="AE95" r:id="rId94"/>
    <hyperlink xmlns:r="http://schemas.openxmlformats.org/officeDocument/2006/relationships" ref="AE96" r:id="rId95"/>
    <hyperlink xmlns:r="http://schemas.openxmlformats.org/officeDocument/2006/relationships" ref="AE97" r:id="rId96"/>
    <hyperlink xmlns:r="http://schemas.openxmlformats.org/officeDocument/2006/relationships" ref="AE98" r:id="rId97"/>
    <hyperlink xmlns:r="http://schemas.openxmlformats.org/officeDocument/2006/relationships" ref="AE99" r:id="rId98"/>
    <hyperlink xmlns:r="http://schemas.openxmlformats.org/officeDocument/2006/relationships" ref="AE100" r:id="rId99"/>
    <hyperlink xmlns:r="http://schemas.openxmlformats.org/officeDocument/2006/relationships" ref="AE101" r:id="rId100"/>
    <hyperlink xmlns:r="http://schemas.openxmlformats.org/officeDocument/2006/relationships" ref="AE102" r:id="rId101"/>
    <hyperlink xmlns:r="http://schemas.openxmlformats.org/officeDocument/2006/relationships" ref="AE103" r:id="rId102"/>
    <hyperlink xmlns:r="http://schemas.openxmlformats.org/officeDocument/2006/relationships" ref="AE104" r:id="rId103"/>
    <hyperlink xmlns:r="http://schemas.openxmlformats.org/officeDocument/2006/relationships" ref="AE105" r:id="rId104"/>
    <hyperlink xmlns:r="http://schemas.openxmlformats.org/officeDocument/2006/relationships" ref="AE106" r:id="rId105"/>
    <hyperlink xmlns:r="http://schemas.openxmlformats.org/officeDocument/2006/relationships" ref="AE107" r:id="rId106"/>
    <hyperlink xmlns:r="http://schemas.openxmlformats.org/officeDocument/2006/relationships" ref="AE108" r:id="rId107"/>
    <hyperlink xmlns:r="http://schemas.openxmlformats.org/officeDocument/2006/relationships" ref="AE109" r:id="rId108"/>
    <hyperlink xmlns:r="http://schemas.openxmlformats.org/officeDocument/2006/relationships" ref="AE110" r:id="rId109"/>
    <hyperlink xmlns:r="http://schemas.openxmlformats.org/officeDocument/2006/relationships" ref="AE111" r:id="rId110"/>
    <hyperlink xmlns:r="http://schemas.openxmlformats.org/officeDocument/2006/relationships" ref="AE112" r:id="rId111"/>
    <hyperlink xmlns:r="http://schemas.openxmlformats.org/officeDocument/2006/relationships" ref="AE113" r:id="rId112"/>
    <hyperlink xmlns:r="http://schemas.openxmlformats.org/officeDocument/2006/relationships" ref="AE114" r:id="rId113"/>
    <hyperlink xmlns:r="http://schemas.openxmlformats.org/officeDocument/2006/relationships" ref="AE115" r:id="rId114"/>
    <hyperlink xmlns:r="http://schemas.openxmlformats.org/officeDocument/2006/relationships" ref="AE116" r:id="rId115"/>
    <hyperlink xmlns:r="http://schemas.openxmlformats.org/officeDocument/2006/relationships" ref="AE117" r:id="rId116"/>
    <hyperlink xmlns:r="http://schemas.openxmlformats.org/officeDocument/2006/relationships" ref="AE118" r:id="rId117"/>
    <hyperlink xmlns:r="http://schemas.openxmlformats.org/officeDocument/2006/relationships" ref="AE119" r:id="rId118"/>
    <hyperlink xmlns:r="http://schemas.openxmlformats.org/officeDocument/2006/relationships" ref="AE120" r:id="rId119"/>
    <hyperlink xmlns:r="http://schemas.openxmlformats.org/officeDocument/2006/relationships" ref="AE121" r:id="rId120"/>
    <hyperlink xmlns:r="http://schemas.openxmlformats.org/officeDocument/2006/relationships" ref="AE122" r:id="rId121"/>
    <hyperlink xmlns:r="http://schemas.openxmlformats.org/officeDocument/2006/relationships" ref="AE123" r:id="rId122"/>
    <hyperlink xmlns:r="http://schemas.openxmlformats.org/officeDocument/2006/relationships" ref="AE124" r:id="rId123"/>
  </hyperlinks>
  <pageMargins left="0.75" right="0.75" top="1" bottom="1" header="0.5" footer="0.5"/>
  <legacyDrawing xmlns:r="http://schemas.openxmlformats.org/officeDocument/2006/relationships" r:id="anysvml"/>
  <tableParts count="1">
    <tablePart xmlns:r="http://schemas.openxmlformats.org/officeDocument/2006/relationships" r:id="rId124"/>
  </tableParts>
</worksheet>
</file>

<file path=xl/worksheets/sheet4.xml><?xml version="1.0" encoding="utf-8"?>
<worksheet xmlns="http://schemas.openxmlformats.org/spreadsheetml/2006/main">
  <sheetPr>
    <outlinePr summaryBelow="1" summaryRight="1"/>
    <pageSetUpPr/>
  </sheetPr>
  <dimension ref="A1:F1243"/>
  <sheetViews>
    <sheetView workbookViewId="0">
      <pane ySplit="1" topLeftCell="A2" activePane="bottomLeft" state="frozen"/>
      <selection pane="bottomLeft" activeCell="A1" sqref="A1"/>
    </sheetView>
  </sheetViews>
  <sheetFormatPr baseColWidth="8" defaultRowHeight="15"/>
  <cols>
    <col width="6" customWidth="1" style="15" min="1" max="1"/>
    <col width="40" customWidth="1" style="15" min="2" max="2"/>
    <col width="34" customWidth="1" style="15" min="3" max="3"/>
    <col width="7" customWidth="1" style="15" min="4" max="4"/>
    <col width="50" customWidth="1" style="15" min="5" max="5"/>
    <col width="60" customWidth="1" style="15" min="6" max="6"/>
  </cols>
  <sheetData>
    <row r="1">
      <c r="A1" s="31" t="inlineStr">
        <is>
          <t>ID</t>
        </is>
      </c>
      <c r="B1" s="31" t="inlineStr">
        <is>
          <t>Nombre</t>
        </is>
      </c>
      <c r="C1" s="31" t="inlineStr">
        <is>
          <t>Columna</t>
        </is>
      </c>
      <c r="D1" s="31" t="inlineStr">
        <is>
          <t>Letra</t>
        </is>
      </c>
      <c r="E1" s="31" t="inlineStr">
        <is>
          <t>Valor anterior</t>
        </is>
      </c>
      <c r="F1" s="31" t="inlineStr">
        <is>
          <t>Valor nuevo</t>
        </is>
      </c>
    </row>
    <row r="2">
      <c r="A2" s="20" t="n">
        <v>1</v>
      </c>
      <c r="B2" s="20" t="inlineStr">
        <is>
          <t>Agencia Estatal de Evaluación de las Políticas Públicas y la Calidad de los Servicios (AEVAL)</t>
        </is>
      </c>
      <c r="C2" s="20" t="inlineStr">
        <is>
          <t>Clasificación: útil / no útil</t>
        </is>
      </c>
      <c r="D2" s="20" t="inlineStr">
        <is>
          <t>BV</t>
        </is>
      </c>
      <c r="E2" s="20" t="n"/>
      <c r="F2" s="20" t="inlineStr">
        <is>
          <t>Extinguida</t>
        </is>
      </c>
    </row>
    <row r="3">
      <c r="A3" s="20" t="n">
        <v>1</v>
      </c>
      <c r="B3" s="20" t="inlineStr">
        <is>
          <t>Agencia Estatal de Evaluación de las Políticas Públicas y la Calidad de los Servicios (AEVAL)</t>
        </is>
      </c>
      <c r="C3" s="20" t="inlineStr">
        <is>
          <t>Clasificación: veredicto</t>
        </is>
      </c>
      <c r="D3" s="20" t="inlineStr">
        <is>
          <t>BW</t>
        </is>
      </c>
      <c r="E3" s="20" t="n"/>
      <c r="F3" s="20" t="inlineStr">
        <is>
          <t>Extinguida</t>
        </is>
      </c>
    </row>
    <row r="4">
      <c r="A4" s="20" t="n">
        <v>1</v>
      </c>
      <c r="B4" s="20" t="inlineStr">
        <is>
          <t>Agencia Estatal de Evaluación de las Políticas Públicas y la Calidad de los Servicios (AEVAL)</t>
        </is>
      </c>
      <c r="C4" s="20" t="inlineStr">
        <is>
          <t>Clasificación: función</t>
        </is>
      </c>
      <c r="D4" s="20" t="inlineStr">
        <is>
          <t>BX</t>
        </is>
      </c>
      <c r="E4" s="20" t="n"/>
      <c r="F4" s="20" t="inlineStr">
        <is>
          <t>Extinguida o no constituida</t>
        </is>
      </c>
    </row>
    <row r="5">
      <c r="A5" s="20" t="n">
        <v>1</v>
      </c>
      <c r="B5" s="20" t="inlineStr">
        <is>
          <t>Agencia Estatal de Evaluación de las Políticas Públicas y la Calidad de los Servicios (AEVAL)</t>
        </is>
      </c>
      <c r="C5" s="20" t="inlineStr">
        <is>
          <t>Clasificación: duplicidad</t>
        </is>
      </c>
      <c r="D5" s="20" t="inlineStr">
        <is>
          <t>BY</t>
        </is>
      </c>
      <c r="E5" s="20" t="n"/>
      <c r="F5" s="20" t="inlineStr">
        <is>
          <t>3 organismos sobre este tema entre el Estado y las CCAA (verificados)</t>
        </is>
      </c>
    </row>
    <row r="6">
      <c r="A6" s="20" t="n">
        <v>1</v>
      </c>
      <c r="B6" s="20" t="inlineStr">
        <is>
          <t>Agencia Estatal de Evaluación de las Políticas Públicas y la Calidad de los Servicios (AEVAL)</t>
        </is>
      </c>
      <c r="C6" s="20" t="inlineStr">
        <is>
          <t>Clasificación: exigida por la UE</t>
        </is>
      </c>
      <c r="D6" s="20" t="inlineStr">
        <is>
          <t>BZ</t>
        </is>
      </c>
      <c r="E6" s="20" t="n"/>
      <c r="F6" s="20" t="inlineStr">
        <is>
          <t>No</t>
        </is>
      </c>
    </row>
    <row r="7">
      <c r="A7" s="20" t="n">
        <v>1</v>
      </c>
      <c r="B7" s="20" t="inlineStr">
        <is>
          <t>Agencia Estatal de Evaluación de las Políticas Públicas y la Calidad de los Servicios (AEVAL)</t>
        </is>
      </c>
      <c r="C7" s="20" t="inlineStr">
        <is>
          <t>Clasificación: actividad reciente</t>
        </is>
      </c>
      <c r="D7" s="20" t="inlineStr">
        <is>
          <t>CA</t>
        </is>
      </c>
      <c r="E7" s="20" t="n"/>
      <c r="F7" s="20" t="inlineStr">
        <is>
          <t>No aplica (no vigente)</t>
        </is>
      </c>
    </row>
    <row r="8">
      <c r="A8" s="20" t="n">
        <v>1</v>
      </c>
      <c r="B8" s="20" t="inlineStr">
        <is>
          <t>Agencia Estatal de Evaluación de las Políticas Públicas y la Calidad de los Servicios (AEVAL)</t>
        </is>
      </c>
      <c r="C8" s="20" t="inlineStr">
        <is>
          <t>Clasificación: motivo</t>
        </is>
      </c>
      <c r="D8" s="20" t="inlineStr">
        <is>
          <t>CB</t>
        </is>
      </c>
      <c r="E8" s="20" t="n"/>
      <c r="F8" s="20" t="inlineStr">
        <is>
          <t>Suprimida en 2017 (RD 769/2017); funciones reubicadas y hoy en la Agencia Estatal de Evaluación (ID 45).</t>
        </is>
      </c>
    </row>
    <row r="9">
      <c r="A9" s="20" t="n">
        <v>1</v>
      </c>
      <c r="B9" s="20" t="inlineStr">
        <is>
          <t>Agencia Estatal de Evaluación de las Políticas Públicas y la Calidad de los Servicios (AEVAL)</t>
        </is>
      </c>
      <c r="C9" s="20" t="inlineStr">
        <is>
          <t>Tema funcional</t>
        </is>
      </c>
      <c r="D9" s="20" t="inlineStr">
        <is>
          <t>CE</t>
        </is>
      </c>
      <c r="E9" s="20" t="n"/>
      <c r="F9" s="20" t="inlineStr">
        <is>
          <t>Evaluación de políticas públicas</t>
        </is>
      </c>
    </row>
    <row r="10">
      <c r="A10" s="20" t="n">
        <v>1</v>
      </c>
      <c r="B10" s="20" t="inlineStr">
        <is>
          <t>Agencia Estatal de Evaluación de las Políticas Públicas y la Calidad de los Servicios (AEVAL)</t>
        </is>
      </c>
      <c r="C10" s="20" t="inlineStr">
        <is>
          <t>Organismos del mismo tema (Estado + CCAA, verificados)</t>
        </is>
      </c>
      <c r="D10" s="20" t="inlineStr">
        <is>
          <t>CF</t>
        </is>
      </c>
      <c r="E10" s="20" t="n"/>
      <c r="F10" s="20" t="n">
        <v>3</v>
      </c>
    </row>
    <row r="11">
      <c r="A11" s="20" t="n">
        <v>2</v>
      </c>
      <c r="B11" s="20" t="inlineStr">
        <is>
          <t>Agencia Estatal de Seguridad Aérea (AESA)</t>
        </is>
      </c>
      <c r="C11" s="20" t="inlineStr">
        <is>
          <t>Clasificación: útil / no útil</t>
        </is>
      </c>
      <c r="D11" s="20" t="inlineStr">
        <is>
          <t>BV</t>
        </is>
      </c>
      <c r="E11" s="20" t="n"/>
      <c r="F11" s="20" t="inlineStr">
        <is>
          <t>Útil</t>
        </is>
      </c>
    </row>
    <row r="12">
      <c r="A12" s="20" t="n">
        <v>2</v>
      </c>
      <c r="B12" s="20" t="inlineStr">
        <is>
          <t>Agencia Estatal de Seguridad Aérea (AESA)</t>
        </is>
      </c>
      <c r="C12" s="20" t="inlineStr">
        <is>
          <t>Clasificación: veredicto</t>
        </is>
      </c>
      <c r="D12" s="20" t="inlineStr">
        <is>
          <t>BW</t>
        </is>
      </c>
      <c r="E12" s="20" t="n"/>
      <c r="F12" s="20" t="inlineStr">
        <is>
          <t>Mantener</t>
        </is>
      </c>
    </row>
    <row r="13">
      <c r="A13" s="20" t="n">
        <v>2</v>
      </c>
      <c r="B13" s="20" t="inlineStr">
        <is>
          <t>Agencia Estatal de Seguridad Aérea (AESA)</t>
        </is>
      </c>
      <c r="C13" s="20" t="inlineStr">
        <is>
          <t>Clasificación: función</t>
        </is>
      </c>
      <c r="D13" s="20" t="inlineStr">
        <is>
          <t>BX</t>
        </is>
      </c>
      <c r="E13" s="20" t="n"/>
      <c r="F13" s="20" t="inlineStr">
        <is>
          <t>Regulación o inspección de terceros</t>
        </is>
      </c>
    </row>
    <row r="14">
      <c r="A14" s="20" t="n">
        <v>2</v>
      </c>
      <c r="B14" s="20" t="inlineStr">
        <is>
          <t>Agencia Estatal de Seguridad Aérea (AESA)</t>
        </is>
      </c>
      <c r="C14" s="20" t="inlineStr">
        <is>
          <t>Clasificación: exigida por la UE</t>
        </is>
      </c>
      <c r="D14" s="20" t="inlineStr">
        <is>
          <t>BZ</t>
        </is>
      </c>
      <c r="E14" s="20" t="n"/>
      <c r="F14" s="20" t="inlineStr">
        <is>
          <t>Sí: el Reglamento (UE) 2018/1139 exige una autoridad nacional de aviación civil</t>
        </is>
      </c>
    </row>
    <row r="15">
      <c r="A15" s="20" t="n">
        <v>2</v>
      </c>
      <c r="B15" s="20" t="inlineStr">
        <is>
          <t>Agencia Estatal de Seguridad Aérea (AESA)</t>
        </is>
      </c>
      <c r="C15" s="20" t="inlineStr">
        <is>
          <t>Clasificación: actividad reciente</t>
        </is>
      </c>
      <c r="D15" s="20" t="inlineStr">
        <is>
          <t>CA</t>
        </is>
      </c>
      <c r="E15" s="20" t="n"/>
      <c r="F15" s="20" t="inlineStr">
        <is>
          <t>Acreditada</t>
        </is>
      </c>
    </row>
    <row r="16">
      <c r="A16" s="20" t="n">
        <v>2</v>
      </c>
      <c r="B16" s="20" t="inlineStr">
        <is>
          <t>Agencia Estatal de Seguridad Aérea (AESA)</t>
        </is>
      </c>
      <c r="C16" s="20" t="inlineStr">
        <is>
          <t>Clasificación: motivo</t>
        </is>
      </c>
      <c r="D16" s="20" t="inlineStr">
        <is>
          <t>CB</t>
        </is>
      </c>
      <c r="E16" s="20" t="n"/>
      <c r="F16" s="20" t="inlineStr">
        <is>
          <t>Certifica e inspecciona la aviación civil; nadie más lo hace.</t>
        </is>
      </c>
    </row>
    <row r="17">
      <c r="A17" s="20" t="n">
        <v>2</v>
      </c>
      <c r="B17" s="20" t="inlineStr">
        <is>
          <t>Agencia Estatal de Seguridad Aérea (AESA)</t>
        </is>
      </c>
      <c r="C17" s="20" t="inlineStr">
        <is>
          <t>Clasificación: base en el P100</t>
        </is>
      </c>
      <c r="D17" s="20" t="inlineStr">
        <is>
          <t>CC</t>
        </is>
      </c>
      <c r="E17" s="20" t="n"/>
      <c r="F17" s="20" t="inlineStr">
        <is>
          <t>Aplicando el criterio del P100: Costes del Estado 9 (función técnica; exigida por la UE)</t>
        </is>
      </c>
    </row>
    <row r="18">
      <c r="A18" s="20" t="n">
        <v>2</v>
      </c>
      <c r="B18" s="20" t="inlineStr">
        <is>
          <t>Agencia Estatal de Seguridad Aérea (AESA)</t>
        </is>
      </c>
      <c r="C18" s="20" t="inlineStr">
        <is>
          <t>Tema funcional</t>
        </is>
      </c>
      <c r="D18" s="20" t="inlineStr">
        <is>
          <t>CE</t>
        </is>
      </c>
      <c r="E18" s="20" t="n"/>
      <c r="F18" s="20" t="inlineStr">
        <is>
          <t>Seguridad aérea</t>
        </is>
      </c>
    </row>
    <row r="19">
      <c r="A19" s="20" t="n">
        <v>3</v>
      </c>
      <c r="B19" s="20" t="inlineStr">
        <is>
          <t>Agencia Estatal Antidopaje (AEA), hoy CELAD</t>
        </is>
      </c>
      <c r="C19" s="20" t="inlineStr">
        <is>
          <t>Clasificación: útil / no útil</t>
        </is>
      </c>
      <c r="D19" s="20" t="inlineStr">
        <is>
          <t>BV</t>
        </is>
      </c>
      <c r="E19" s="20" t="n"/>
      <c r="F19" s="20" t="inlineStr">
        <is>
          <t>Útil</t>
        </is>
      </c>
    </row>
    <row r="20">
      <c r="A20" s="20" t="n">
        <v>3</v>
      </c>
      <c r="B20" s="20" t="inlineStr">
        <is>
          <t>Agencia Estatal Antidopaje (AEA), hoy CELAD</t>
        </is>
      </c>
      <c r="C20" s="20" t="inlineStr">
        <is>
          <t>Clasificación: veredicto</t>
        </is>
      </c>
      <c r="D20" s="20" t="inlineStr">
        <is>
          <t>BW</t>
        </is>
      </c>
      <c r="E20" s="20" t="n"/>
      <c r="F20" s="20" t="inlineStr">
        <is>
          <t>Mantener</t>
        </is>
      </c>
    </row>
    <row r="21">
      <c r="A21" s="20" t="n">
        <v>3</v>
      </c>
      <c r="B21" s="20" t="inlineStr">
        <is>
          <t>Agencia Estatal Antidopaje (AEA), hoy CELAD</t>
        </is>
      </c>
      <c r="C21" s="20" t="inlineStr">
        <is>
          <t>Clasificación: función</t>
        </is>
      </c>
      <c r="D21" s="20" t="inlineStr">
        <is>
          <t>BX</t>
        </is>
      </c>
      <c r="E21" s="20" t="n"/>
      <c r="F21" s="20" t="inlineStr">
        <is>
          <t>Regulación o inspección de terceros</t>
        </is>
      </c>
    </row>
    <row r="22">
      <c r="A22" s="20" t="n">
        <v>3</v>
      </c>
      <c r="B22" s="20" t="inlineStr">
        <is>
          <t>Agencia Estatal Antidopaje (AEA), hoy CELAD</t>
        </is>
      </c>
      <c r="C22" s="20" t="inlineStr">
        <is>
          <t>Clasificación: exigida por la UE</t>
        </is>
      </c>
      <c r="D22" s="20" t="inlineStr">
        <is>
          <t>BZ</t>
        </is>
      </c>
      <c r="E22" s="20" t="n"/>
      <c r="F22" s="20" t="inlineStr">
        <is>
          <t>No</t>
        </is>
      </c>
    </row>
    <row r="23">
      <c r="A23" s="20" t="n">
        <v>3</v>
      </c>
      <c r="B23" s="20" t="inlineStr">
        <is>
          <t>Agencia Estatal Antidopaje (AEA), hoy CELAD</t>
        </is>
      </c>
      <c r="C23" s="20" t="inlineStr">
        <is>
          <t>Clasificación: actividad reciente</t>
        </is>
      </c>
      <c r="D23" s="20" t="inlineStr">
        <is>
          <t>CA</t>
        </is>
      </c>
      <c r="E23" s="20" t="n"/>
      <c r="F23" s="20" t="inlineStr">
        <is>
          <t>Acreditada</t>
        </is>
      </c>
    </row>
    <row r="24">
      <c r="A24" s="20" t="n">
        <v>3</v>
      </c>
      <c r="B24" s="20" t="inlineStr">
        <is>
          <t>Agencia Estatal Antidopaje (AEA), hoy CELAD</t>
        </is>
      </c>
      <c r="C24" s="20" t="inlineStr">
        <is>
          <t>Clasificación: motivo</t>
        </is>
      </c>
      <c r="D24" s="20" t="inlineStr">
        <is>
          <t>CB</t>
        </is>
      </c>
      <c r="E24" s="20" t="n"/>
      <c r="F24" s="20" t="inlineStr">
        <is>
          <t>Hace los controles antidopaje con la independencia que exige el código mundial.</t>
        </is>
      </c>
    </row>
    <row r="25">
      <c r="A25" s="20" t="n">
        <v>3</v>
      </c>
      <c r="B25" s="20" t="inlineStr">
        <is>
          <t>Agencia Estatal Antidopaje (AEA), hoy CELAD</t>
        </is>
      </c>
      <c r="C25" s="20" t="inlineStr">
        <is>
          <t>Clasificación: base en el P100</t>
        </is>
      </c>
      <c r="D25" s="20" t="inlineStr">
        <is>
          <t>CC</t>
        </is>
      </c>
      <c r="E25" s="20" t="n"/>
      <c r="F25" s="20" t="inlineStr">
        <is>
          <t>Aplicando el criterio del P100: Costes del Estado 9 (independencia exigida por el Código Mundial Antidopaje)</t>
        </is>
      </c>
    </row>
    <row r="26">
      <c r="A26" s="20" t="n">
        <v>3</v>
      </c>
      <c r="B26" s="20" t="inlineStr">
        <is>
          <t>Agencia Estatal Antidopaje (AEA), hoy CELAD</t>
        </is>
      </c>
      <c r="C26" s="20" t="inlineStr">
        <is>
          <t>Tema funcional</t>
        </is>
      </c>
      <c r="D26" s="20" t="inlineStr">
        <is>
          <t>CE</t>
        </is>
      </c>
      <c r="E26" s="20" t="n"/>
      <c r="F26" s="20" t="inlineStr">
        <is>
          <t>Antidopaje</t>
        </is>
      </c>
    </row>
    <row r="27">
      <c r="A27" s="20" t="n">
        <v>4</v>
      </c>
      <c r="B27" s="20" t="inlineStr">
        <is>
          <t>Agencia Estatal de Investigación (AEI)</t>
        </is>
      </c>
      <c r="C27" s="20" t="inlineStr">
        <is>
          <t>Clasificación: útil / no útil</t>
        </is>
      </c>
      <c r="D27" s="20" t="inlineStr">
        <is>
          <t>BV</t>
        </is>
      </c>
      <c r="E27" s="20" t="n"/>
      <c r="F27" s="20" t="inlineStr">
        <is>
          <t>Útil</t>
        </is>
      </c>
    </row>
    <row r="28">
      <c r="A28" s="20" t="n">
        <v>4</v>
      </c>
      <c r="B28" s="20" t="inlineStr">
        <is>
          <t>Agencia Estatal de Investigación (AEI)</t>
        </is>
      </c>
      <c r="C28" s="20" t="inlineStr">
        <is>
          <t>Clasificación: veredicto</t>
        </is>
      </c>
      <c r="D28" s="20" t="inlineStr">
        <is>
          <t>BW</t>
        </is>
      </c>
      <c r="E28" s="20" t="n"/>
      <c r="F28" s="20" t="inlineStr">
        <is>
          <t>Mantener</t>
        </is>
      </c>
    </row>
    <row r="29">
      <c r="A29" s="20" t="n">
        <v>4</v>
      </c>
      <c r="B29" s="20" t="inlineStr">
        <is>
          <t>Agencia Estatal de Investigación (AEI)</t>
        </is>
      </c>
      <c r="C29" s="20" t="inlineStr">
        <is>
          <t>Clasificación: función</t>
        </is>
      </c>
      <c r="D29" s="20" t="inlineStr">
        <is>
          <t>BX</t>
        </is>
      </c>
      <c r="E29" s="20" t="n"/>
      <c r="F29" s="20" t="inlineStr">
        <is>
          <t>Financiación y ayudas</t>
        </is>
      </c>
    </row>
    <row r="30">
      <c r="A30" s="20" t="n">
        <v>4</v>
      </c>
      <c r="B30" s="20" t="inlineStr">
        <is>
          <t>Agencia Estatal de Investigación (AEI)</t>
        </is>
      </c>
      <c r="C30" s="20" t="inlineStr">
        <is>
          <t>Clasificación: duplicidad</t>
        </is>
      </c>
      <c r="D30" s="20" t="inlineStr">
        <is>
          <t>BY</t>
        </is>
      </c>
      <c r="E30" s="20" t="n"/>
      <c r="F30" s="20" t="inlineStr">
        <is>
          <t>Organismo estatal de referencia. 8 comunidades tienen el suyo propio; 10 organismos sobre este tema entre el Estado y las CCAA (verificados).</t>
        </is>
      </c>
    </row>
    <row r="31">
      <c r="A31" s="20" t="n">
        <v>4</v>
      </c>
      <c r="B31" s="20" t="inlineStr">
        <is>
          <t>Agencia Estatal de Investigación (AEI)</t>
        </is>
      </c>
      <c r="C31" s="20" t="inlineStr">
        <is>
          <t>Clasificación: exigida por la UE</t>
        </is>
      </c>
      <c r="D31" s="20" t="inlineStr">
        <is>
          <t>BZ</t>
        </is>
      </c>
      <c r="E31" s="20" t="n"/>
      <c r="F31" s="20" t="inlineStr">
        <is>
          <t>No</t>
        </is>
      </c>
    </row>
    <row r="32">
      <c r="A32" s="20" t="n">
        <v>4</v>
      </c>
      <c r="B32" s="20" t="inlineStr">
        <is>
          <t>Agencia Estatal de Investigación (AEI)</t>
        </is>
      </c>
      <c r="C32" s="20" t="inlineStr">
        <is>
          <t>Clasificación: actividad reciente</t>
        </is>
      </c>
      <c r="D32" s="20" t="inlineStr">
        <is>
          <t>CA</t>
        </is>
      </c>
      <c r="E32" s="20" t="n"/>
      <c r="F32" s="20" t="inlineStr">
        <is>
          <t>Acreditada</t>
        </is>
      </c>
    </row>
    <row r="33">
      <c r="A33" s="20" t="n">
        <v>4</v>
      </c>
      <c r="B33" s="20" t="inlineStr">
        <is>
          <t>Agencia Estatal de Investigación (AEI)</t>
        </is>
      </c>
      <c r="C33" s="20" t="inlineStr">
        <is>
          <t>Clasificación: motivo</t>
        </is>
      </c>
      <c r="D33" s="20" t="inlineStr">
        <is>
          <t>CB</t>
        </is>
      </c>
      <c r="E33" s="20" t="n"/>
      <c r="F33" s="20" t="inlineStr">
        <is>
          <t>Evalúa por pares y concede las ayudas estatales de investigación.</t>
        </is>
      </c>
    </row>
    <row r="34">
      <c r="A34" s="20" t="n">
        <v>4</v>
      </c>
      <c r="B34" s="20" t="inlineStr">
        <is>
          <t>Agencia Estatal de Investigación (AEI)</t>
        </is>
      </c>
      <c r="C34" s="20" t="inlineStr">
        <is>
          <t>Clasificación: base en el P100</t>
        </is>
      </c>
      <c r="D34" s="20" t="inlineStr">
        <is>
          <t>CC</t>
        </is>
      </c>
      <c r="E34" s="20" t="n"/>
      <c r="F34" s="20" t="inlineStr">
        <is>
          <t>Aplicando el criterio del P100: Costes del Estado 9 (función técnica)</t>
        </is>
      </c>
    </row>
    <row r="35">
      <c r="A35" s="20" t="n">
        <v>4</v>
      </c>
      <c r="B35" s="20" t="inlineStr">
        <is>
          <t>Agencia Estatal de Investigación (AEI)</t>
        </is>
      </c>
      <c r="C35" s="20" t="inlineStr">
        <is>
          <t>Tema funcional</t>
        </is>
      </c>
      <c r="D35" s="20" t="inlineStr">
        <is>
          <t>CE</t>
        </is>
      </c>
      <c r="E35" s="20" t="n"/>
      <c r="F35" s="20" t="inlineStr">
        <is>
          <t>Agencias de investigación e innovación</t>
        </is>
      </c>
    </row>
    <row r="36">
      <c r="A36" s="20" t="n">
        <v>4</v>
      </c>
      <c r="B36" s="20" t="inlineStr">
        <is>
          <t>Agencia Estatal de Investigación (AEI)</t>
        </is>
      </c>
      <c r="C36" s="20" t="inlineStr">
        <is>
          <t>Organismos del mismo tema (Estado + CCAA, verificados)</t>
        </is>
      </c>
      <c r="D36" s="20" t="inlineStr">
        <is>
          <t>CF</t>
        </is>
      </c>
      <c r="E36" s="20" t="n"/>
      <c r="F36" s="20" t="n">
        <v>10</v>
      </c>
    </row>
    <row r="37">
      <c r="A37" s="20" t="n">
        <v>5</v>
      </c>
      <c r="B37" s="20" t="inlineStr">
        <is>
          <t>Autoridad Independiente de Responsabilidad Fiscal (AIReF)</t>
        </is>
      </c>
      <c r="C37" s="20" t="inlineStr">
        <is>
          <t>Clasificación: útil / no útil</t>
        </is>
      </c>
      <c r="D37" s="20" t="inlineStr">
        <is>
          <t>BV</t>
        </is>
      </c>
      <c r="E37" s="20" t="n"/>
      <c r="F37" s="20" t="inlineStr">
        <is>
          <t>Útil</t>
        </is>
      </c>
    </row>
    <row r="38">
      <c r="A38" s="20" t="n">
        <v>5</v>
      </c>
      <c r="B38" s="20" t="inlineStr">
        <is>
          <t>Autoridad Independiente de Responsabilidad Fiscal (AIReF)</t>
        </is>
      </c>
      <c r="C38" s="20" t="inlineStr">
        <is>
          <t>Clasificación: veredicto</t>
        </is>
      </c>
      <c r="D38" s="20" t="inlineStr">
        <is>
          <t>BW</t>
        </is>
      </c>
      <c r="E38" s="20" t="n"/>
      <c r="F38" s="20" t="inlineStr">
        <is>
          <t>Mantener</t>
        </is>
      </c>
    </row>
    <row r="39">
      <c r="A39" s="20" t="n">
        <v>5</v>
      </c>
      <c r="B39" s="20" t="inlineStr">
        <is>
          <t>Autoridad Independiente de Responsabilidad Fiscal (AIReF)</t>
        </is>
      </c>
      <c r="C39" s="20" t="inlineStr">
        <is>
          <t>Clasificación: función</t>
        </is>
      </c>
      <c r="D39" s="20" t="inlineStr">
        <is>
          <t>BX</t>
        </is>
      </c>
      <c r="E39" s="20" t="n"/>
      <c r="F39" s="20" t="inlineStr">
        <is>
          <t>Control interno y cumplimiento</t>
        </is>
      </c>
    </row>
    <row r="40">
      <c r="A40" s="20" t="n">
        <v>5</v>
      </c>
      <c r="B40" s="20" t="inlineStr">
        <is>
          <t>Autoridad Independiente de Responsabilidad Fiscal (AIReF)</t>
        </is>
      </c>
      <c r="C40" s="20" t="inlineStr">
        <is>
          <t>Clasificación: exigida por la UE</t>
        </is>
      </c>
      <c r="D40" s="20" t="inlineStr">
        <is>
          <t>BZ</t>
        </is>
      </c>
      <c r="E40" s="20" t="n"/>
      <c r="F40" s="20" t="inlineStr">
        <is>
          <t>Sí: la Directiva 2011/85/UE exige un organismo fiscal independiente</t>
        </is>
      </c>
    </row>
    <row r="41">
      <c r="A41" s="20" t="n">
        <v>5</v>
      </c>
      <c r="B41" s="20" t="inlineStr">
        <is>
          <t>Autoridad Independiente de Responsabilidad Fiscal (AIReF)</t>
        </is>
      </c>
      <c r="C41" s="20" t="inlineStr">
        <is>
          <t>Clasificación: actividad reciente</t>
        </is>
      </c>
      <c r="D41" s="20" t="inlineStr">
        <is>
          <t>CA</t>
        </is>
      </c>
      <c r="E41" s="20" t="n"/>
      <c r="F41" s="20" t="inlineStr">
        <is>
          <t>Acreditada</t>
        </is>
      </c>
    </row>
    <row r="42">
      <c r="A42" s="20" t="n">
        <v>5</v>
      </c>
      <c r="B42" s="20" t="inlineStr">
        <is>
          <t>Autoridad Independiente de Responsabilidad Fiscal (AIReF)</t>
        </is>
      </c>
      <c r="C42" s="20" t="inlineStr">
        <is>
          <t>Clasificación: motivo</t>
        </is>
      </c>
      <c r="D42" s="20" t="inlineStr">
        <is>
          <t>CB</t>
        </is>
      </c>
      <c r="E42" s="20" t="n"/>
      <c r="F42" s="20" t="inlineStr">
        <is>
          <t>Evalúa el gasto y los beneficios fiscales: el P100 le encarga revisar todo el gasto y conserva su informe obligatorio. Exigida por la UE.</t>
        </is>
      </c>
    </row>
    <row r="43">
      <c r="A43" s="20" t="n">
        <v>5</v>
      </c>
      <c r="B43" s="20" t="inlineStr">
        <is>
          <t>Autoridad Independiente de Responsabilidad Fiscal (AIReF)</t>
        </is>
      </c>
      <c r="C43" s="20" t="inlineStr">
        <is>
          <t>Clasificación: base en el P100</t>
        </is>
      </c>
      <c r="D43" s="20" t="inlineStr">
        <is>
          <t>CC</t>
        </is>
      </c>
      <c r="E43" s="20" t="n"/>
      <c r="F43" s="20" t="inlineStr">
        <is>
          <t>Explícito en el P100: Costes del Estado 1, 9 y 12; Organización del Estado 11</t>
        </is>
      </c>
    </row>
    <row r="44">
      <c r="A44" s="20" t="n">
        <v>5</v>
      </c>
      <c r="B44" s="20" t="inlineStr">
        <is>
          <t>Autoridad Independiente de Responsabilidad Fiscal (AIReF)</t>
        </is>
      </c>
      <c r="C44" s="20" t="inlineStr">
        <is>
          <t>Tema funcional</t>
        </is>
      </c>
      <c r="D44" s="20" t="inlineStr">
        <is>
          <t>CE</t>
        </is>
      </c>
      <c r="E44" s="20" t="n"/>
      <c r="F44" s="20" t="inlineStr">
        <is>
          <t>Supervisión fiscal</t>
        </is>
      </c>
    </row>
    <row r="45">
      <c r="A45" s="20" t="n">
        <v>6</v>
      </c>
      <c r="B45" s="20" t="inlineStr">
        <is>
          <t>Consejo de Transparencia y Buen Gobierno (CTBG)</t>
        </is>
      </c>
      <c r="C45" s="20" t="inlineStr">
        <is>
          <t>Clasificación: útil / no útil</t>
        </is>
      </c>
      <c r="D45" s="20" t="inlineStr">
        <is>
          <t>BV</t>
        </is>
      </c>
      <c r="E45" s="20" t="n"/>
      <c r="F45" s="20" t="inlineStr">
        <is>
          <t>Útil</t>
        </is>
      </c>
    </row>
    <row r="46">
      <c r="A46" s="20" t="n">
        <v>6</v>
      </c>
      <c r="B46" s="20" t="inlineStr">
        <is>
          <t>Consejo de Transparencia y Buen Gobierno (CTBG)</t>
        </is>
      </c>
      <c r="C46" s="20" t="inlineStr">
        <is>
          <t>Clasificación: veredicto</t>
        </is>
      </c>
      <c r="D46" s="20" t="inlineStr">
        <is>
          <t>BW</t>
        </is>
      </c>
      <c r="E46" s="20" t="n"/>
      <c r="F46" s="20" t="inlineStr">
        <is>
          <t>Reformar</t>
        </is>
      </c>
    </row>
    <row r="47">
      <c r="A47" s="20" t="n">
        <v>6</v>
      </c>
      <c r="B47" s="20" t="inlineStr">
        <is>
          <t>Consejo de Transparencia y Buen Gobierno (CTBG)</t>
        </is>
      </c>
      <c r="C47" s="20" t="inlineStr">
        <is>
          <t>Clasificación: función</t>
        </is>
      </c>
      <c r="D47" s="20" t="inlineStr">
        <is>
          <t>BX</t>
        </is>
      </c>
      <c r="E47" s="20" t="n"/>
      <c r="F47" s="20" t="inlineStr">
        <is>
          <t>Control interno y cumplimiento</t>
        </is>
      </c>
    </row>
    <row r="48">
      <c r="A48" s="20" t="n">
        <v>6</v>
      </c>
      <c r="B48" s="20" t="inlineStr">
        <is>
          <t>Consejo de Transparencia y Buen Gobierno (CTBG)</t>
        </is>
      </c>
      <c r="C48" s="20" t="inlineStr">
        <is>
          <t>Clasificación: duplicidad</t>
        </is>
      </c>
      <c r="D48" s="20" t="inlineStr">
        <is>
          <t>BY</t>
        </is>
      </c>
      <c r="E48" s="20" t="n"/>
      <c r="F48" s="20" t="inlineStr">
        <is>
          <t>Organismo estatal de referencia. 12 comunidades tienen el suyo propio; 13 organismos sobre este tema entre el Estado y las CCAA (verificados).</t>
        </is>
      </c>
    </row>
    <row r="49">
      <c r="A49" s="20" t="n">
        <v>6</v>
      </c>
      <c r="B49" s="20" t="inlineStr">
        <is>
          <t>Consejo de Transparencia y Buen Gobierno (CTBG)</t>
        </is>
      </c>
      <c r="C49" s="20" t="inlineStr">
        <is>
          <t>Clasificación: exigida por la UE</t>
        </is>
      </c>
      <c r="D49" s="20" t="inlineStr">
        <is>
          <t>BZ</t>
        </is>
      </c>
      <c r="E49" s="20" t="n"/>
      <c r="F49" s="20" t="inlineStr">
        <is>
          <t>No</t>
        </is>
      </c>
    </row>
    <row r="50">
      <c r="A50" s="20" t="n">
        <v>6</v>
      </c>
      <c r="B50" s="20" t="inlineStr">
        <is>
          <t>Consejo de Transparencia y Buen Gobierno (CTBG)</t>
        </is>
      </c>
      <c r="C50" s="20" t="inlineStr">
        <is>
          <t>Clasificación: actividad reciente</t>
        </is>
      </c>
      <c r="D50" s="20" t="inlineStr">
        <is>
          <t>CA</t>
        </is>
      </c>
      <c r="E50" s="20" t="n"/>
      <c r="F50" s="20" t="inlineStr">
        <is>
          <t>Acreditada</t>
        </is>
      </c>
    </row>
    <row r="51">
      <c r="A51" s="20" t="n">
        <v>6</v>
      </c>
      <c r="B51" s="20" t="inlineStr">
        <is>
          <t>Consejo de Transparencia y Buen Gobierno (CTBG)</t>
        </is>
      </c>
      <c r="C51" s="20" t="inlineStr">
        <is>
          <t>Clasificación: motivo</t>
        </is>
      </c>
      <c r="D51" s="20" t="inlineStr">
        <is>
          <t>CB</t>
        </is>
      </c>
      <c r="E51" s="20" t="n"/>
      <c r="F51" s="20" t="inlineStr">
        <is>
          <t>Resuelve las reclamaciones de acceso a la información; el P100 lo mantiene pero lo saca del alcance del Gobierno (terna por mérito, mandato único). Absorbería a los consejos autonómicos.</t>
        </is>
      </c>
    </row>
    <row r="52">
      <c r="A52" s="20" t="n">
        <v>6</v>
      </c>
      <c r="B52" s="20" t="inlineStr">
        <is>
          <t>Consejo de Transparencia y Buen Gobierno (CTBG)</t>
        </is>
      </c>
      <c r="C52" s="20" t="inlineStr">
        <is>
          <t>Clasificación: base en el P100</t>
        </is>
      </c>
      <c r="D52" s="20" t="inlineStr">
        <is>
          <t>CC</t>
        </is>
      </c>
      <c r="E52" s="20" t="n"/>
      <c r="F52" s="20" t="inlineStr">
        <is>
          <t>Explícito en el P100: Organización del Estado 11</t>
        </is>
      </c>
    </row>
    <row r="53">
      <c r="A53" s="20" t="n">
        <v>6</v>
      </c>
      <c r="B53" s="20" t="inlineStr">
        <is>
          <t>Consejo de Transparencia y Buen Gobierno (CTBG)</t>
        </is>
      </c>
      <c r="C53" s="20" t="inlineStr">
        <is>
          <t>Tema funcional</t>
        </is>
      </c>
      <c r="D53" s="20" t="inlineStr">
        <is>
          <t>CE</t>
        </is>
      </c>
      <c r="E53" s="20" t="n"/>
      <c r="F53" s="20" t="inlineStr">
        <is>
          <t>Consejos de transparencia</t>
        </is>
      </c>
    </row>
    <row r="54">
      <c r="A54" s="20" t="n">
        <v>6</v>
      </c>
      <c r="B54" s="20" t="inlineStr">
        <is>
          <t>Consejo de Transparencia y Buen Gobierno (CTBG)</t>
        </is>
      </c>
      <c r="C54" s="20" t="inlineStr">
        <is>
          <t>Organismos del mismo tema (Estado + CCAA, verificados)</t>
        </is>
      </c>
      <c r="D54" s="20" t="inlineStr">
        <is>
          <t>CF</t>
        </is>
      </c>
      <c r="E54" s="20" t="n"/>
      <c r="F54" s="20" t="n">
        <v>13</v>
      </c>
    </row>
    <row r="55">
      <c r="A55" s="20" t="n">
        <v>7</v>
      </c>
      <c r="B55" s="20" t="inlineStr">
        <is>
          <t>Agencia Estatal de Seguridad Ferroviaria (AESF)</t>
        </is>
      </c>
      <c r="C55" s="20" t="inlineStr">
        <is>
          <t>Clasificación: útil / no útil</t>
        </is>
      </c>
      <c r="D55" s="20" t="inlineStr">
        <is>
          <t>BV</t>
        </is>
      </c>
      <c r="E55" s="20" t="n"/>
      <c r="F55" s="20" t="inlineStr">
        <is>
          <t>Útil</t>
        </is>
      </c>
    </row>
    <row r="56">
      <c r="A56" s="20" t="n">
        <v>7</v>
      </c>
      <c r="B56" s="20" t="inlineStr">
        <is>
          <t>Agencia Estatal de Seguridad Ferroviaria (AESF)</t>
        </is>
      </c>
      <c r="C56" s="20" t="inlineStr">
        <is>
          <t>Clasificación: veredicto</t>
        </is>
      </c>
      <c r="D56" s="20" t="inlineStr">
        <is>
          <t>BW</t>
        </is>
      </c>
      <c r="E56" s="20" t="n"/>
      <c r="F56" s="20" t="inlineStr">
        <is>
          <t>Mantener</t>
        </is>
      </c>
    </row>
    <row r="57">
      <c r="A57" s="20" t="n">
        <v>7</v>
      </c>
      <c r="B57" s="20" t="inlineStr">
        <is>
          <t>Agencia Estatal de Seguridad Ferroviaria (AESF)</t>
        </is>
      </c>
      <c r="C57" s="20" t="inlineStr">
        <is>
          <t>Clasificación: función</t>
        </is>
      </c>
      <c r="D57" s="20" t="inlineStr">
        <is>
          <t>BX</t>
        </is>
      </c>
      <c r="E57" s="20" t="n"/>
      <c r="F57" s="20" t="inlineStr">
        <is>
          <t>Regulación o inspección de terceros</t>
        </is>
      </c>
    </row>
    <row r="58">
      <c r="A58" s="20" t="n">
        <v>7</v>
      </c>
      <c r="B58" s="20" t="inlineStr">
        <is>
          <t>Agencia Estatal de Seguridad Ferroviaria (AESF)</t>
        </is>
      </c>
      <c r="C58" s="20" t="inlineStr">
        <is>
          <t>Clasificación: duplicidad</t>
        </is>
      </c>
      <c r="D58" s="20" t="inlineStr">
        <is>
          <t>BY</t>
        </is>
      </c>
      <c r="E58" s="20" t="n"/>
      <c r="F58" s="20" t="inlineStr">
        <is>
          <t>Organismo estatal de referencia. 1 comunidades tienen el suyo propio; 2 organismos sobre este tema entre el Estado y las CCAA (verificados).</t>
        </is>
      </c>
    </row>
    <row r="59">
      <c r="A59" s="20" t="n">
        <v>7</v>
      </c>
      <c r="B59" s="20" t="inlineStr">
        <is>
          <t>Agencia Estatal de Seguridad Ferroviaria (AESF)</t>
        </is>
      </c>
      <c r="C59" s="20" t="inlineStr">
        <is>
          <t>Clasificación: exigida por la UE</t>
        </is>
      </c>
      <c r="D59" s="20" t="inlineStr">
        <is>
          <t>BZ</t>
        </is>
      </c>
      <c r="E59" s="20" t="n"/>
      <c r="F59" s="20" t="inlineStr">
        <is>
          <t>Sí: la Directiva (UE) 2016/798 exige una autoridad nacional de seguridad ferroviaria</t>
        </is>
      </c>
    </row>
    <row r="60">
      <c r="A60" s="20" t="n">
        <v>7</v>
      </c>
      <c r="B60" s="20" t="inlineStr">
        <is>
          <t>Agencia Estatal de Seguridad Ferroviaria (AESF)</t>
        </is>
      </c>
      <c r="C60" s="20" t="inlineStr">
        <is>
          <t>Clasificación: actividad reciente</t>
        </is>
      </c>
      <c r="D60" s="20" t="inlineStr">
        <is>
          <t>CA</t>
        </is>
      </c>
      <c r="E60" s="20" t="n"/>
      <c r="F60" s="20" t="inlineStr">
        <is>
          <t>Acreditada</t>
        </is>
      </c>
    </row>
    <row r="61">
      <c r="A61" s="20" t="n">
        <v>7</v>
      </c>
      <c r="B61" s="20" t="inlineStr">
        <is>
          <t>Agencia Estatal de Seguridad Ferroviaria (AESF)</t>
        </is>
      </c>
      <c r="C61" s="20" t="inlineStr">
        <is>
          <t>Clasificación: motivo</t>
        </is>
      </c>
      <c r="D61" s="20" t="inlineStr">
        <is>
          <t>CB</t>
        </is>
      </c>
      <c r="E61" s="20" t="n"/>
      <c r="F61" s="20" t="inlineStr">
        <is>
          <t>Certifica e inspecciona la seguridad de la red ferroviaria estatal.</t>
        </is>
      </c>
    </row>
    <row r="62">
      <c r="A62" s="20" t="n">
        <v>7</v>
      </c>
      <c r="B62" s="20" t="inlineStr">
        <is>
          <t>Agencia Estatal de Seguridad Ferroviaria (AESF)</t>
        </is>
      </c>
      <c r="C62" s="20" t="inlineStr">
        <is>
          <t>Clasificación: base en el P100</t>
        </is>
      </c>
      <c r="D62" s="20" t="inlineStr">
        <is>
          <t>CC</t>
        </is>
      </c>
      <c r="E62" s="20" t="n"/>
      <c r="F62" s="20" t="inlineStr">
        <is>
          <t>Aplicando el criterio del P100: Costes del Estado 9 (función técnica; exigida por la UE)</t>
        </is>
      </c>
    </row>
    <row r="63">
      <c r="A63" s="20" t="n">
        <v>7</v>
      </c>
      <c r="B63" s="20" t="inlineStr">
        <is>
          <t>Agencia Estatal de Seguridad Ferroviaria (AESF)</t>
        </is>
      </c>
      <c r="C63" s="20" t="inlineStr">
        <is>
          <t>Tema funcional</t>
        </is>
      </c>
      <c r="D63" s="20" t="inlineStr">
        <is>
          <t>CE</t>
        </is>
      </c>
      <c r="E63" s="20" t="n"/>
      <c r="F63" s="20" t="inlineStr">
        <is>
          <t>Seguridad ferroviaria</t>
        </is>
      </c>
    </row>
    <row r="64">
      <c r="A64" s="20" t="n">
        <v>7</v>
      </c>
      <c r="B64" s="20" t="inlineStr">
        <is>
          <t>Agencia Estatal de Seguridad Ferroviaria (AESF)</t>
        </is>
      </c>
      <c r="C64" s="20" t="inlineStr">
        <is>
          <t>Organismos del mismo tema (Estado + CCAA, verificados)</t>
        </is>
      </c>
      <c r="D64" s="20" t="inlineStr">
        <is>
          <t>CF</t>
        </is>
      </c>
      <c r="E64" s="20" t="n"/>
      <c r="F64" s="20" t="n">
        <v>2</v>
      </c>
    </row>
    <row r="65">
      <c r="A65" s="20" t="n">
        <v>8</v>
      </c>
      <c r="B65" s="20" t="inlineStr">
        <is>
          <t>Observatorio Estatal de la Convivencia Escolar</t>
        </is>
      </c>
      <c r="C65" s="20" t="inlineStr">
        <is>
          <t>Fuentes de la ficha</t>
        </is>
      </c>
      <c r="D65" s="20" t="inlineStr">
        <is>
          <t>Z</t>
        </is>
      </c>
      <c r="E65" s="20" t="inlineStr">
        <is>
          <t>https://www.boe.es/eli/es/rd/2007/02/23/275
https://www.educacionfpydeportes.gob.es/mc/sgctie/convivencia-escolar/observatorio.html
https://boe.es/boe/dias/2025/11/15/pdfs/BOE-A-2025-23138.pdf</t>
        </is>
      </c>
      <c r="F65" s="20" t="inlineStr">
        <is>
          <t>https://www.boe.es/eli/es/rd/2007/02/23/275
https://www.educacionfpydeportes.gob.es/mc/sgctie/convivencia-escolar/observatorio.html
https://boe.es/boe/dias/2025/11/15/pdfs/BOE-A-2025-23138.pdf
https://www.boe.es/eli/es/rd/2007/02/23/275/con</t>
        </is>
      </c>
    </row>
    <row r="66">
      <c r="A66" s="20" t="n">
        <v>8</v>
      </c>
      <c r="B66" s="20" t="inlineStr">
        <is>
          <t>Observatorio Estatal de la Convivencia Escolar</t>
        </is>
      </c>
      <c r="C66" s="20" t="inlineStr">
        <is>
          <t>Clasificación: útil / no útil</t>
        </is>
      </c>
      <c r="D66" s="20" t="inlineStr">
        <is>
          <t>BV</t>
        </is>
      </c>
      <c r="E66" s="20" t="n"/>
      <c r="F66" s="20" t="inlineStr">
        <is>
          <t>No útil</t>
        </is>
      </c>
    </row>
    <row r="67">
      <c r="A67" s="20" t="n">
        <v>8</v>
      </c>
      <c r="B67" s="20" t="inlineStr">
        <is>
          <t>Observatorio Estatal de la Convivencia Escolar</t>
        </is>
      </c>
      <c r="C67" s="20" t="inlineStr">
        <is>
          <t>Clasificación: veredicto</t>
        </is>
      </c>
      <c r="D67" s="20" t="inlineStr">
        <is>
          <t>BW</t>
        </is>
      </c>
      <c r="E67" s="20" t="n"/>
      <c r="F67" s="20" t="inlineStr">
        <is>
          <t>Suprimir</t>
        </is>
      </c>
    </row>
    <row r="68">
      <c r="A68" s="20" t="n">
        <v>8</v>
      </c>
      <c r="B68" s="20" t="inlineStr">
        <is>
          <t>Observatorio Estatal de la Convivencia Escolar</t>
        </is>
      </c>
      <c r="C68" s="20" t="inlineStr">
        <is>
          <t>Clasificación: función</t>
        </is>
      </c>
      <c r="D68" s="20" t="inlineStr">
        <is>
          <t>BX</t>
        </is>
      </c>
      <c r="E68" s="20" t="n"/>
      <c r="F68" s="20" t="inlineStr">
        <is>
          <t>Consultivo o participación</t>
        </is>
      </c>
    </row>
    <row r="69">
      <c r="A69" s="20" t="n">
        <v>8</v>
      </c>
      <c r="B69" s="20" t="inlineStr">
        <is>
          <t>Observatorio Estatal de la Convivencia Escolar</t>
        </is>
      </c>
      <c r="C69" s="20" t="inlineStr">
        <is>
          <t>Clasificación: duplicidad</t>
        </is>
      </c>
      <c r="D69" s="20" t="inlineStr">
        <is>
          <t>BY</t>
        </is>
      </c>
      <c r="E69" s="20" t="n"/>
      <c r="F69" s="20" t="inlineStr">
        <is>
          <t>Organismo estatal de referencia. 14 comunidades tienen el suyo propio; 15 organismos sobre este tema entre el Estado y las CCAA (verificados).</t>
        </is>
      </c>
    </row>
    <row r="70">
      <c r="A70" s="20" t="n">
        <v>8</v>
      </c>
      <c r="B70" s="20" t="inlineStr">
        <is>
          <t>Observatorio Estatal de la Convivencia Escolar</t>
        </is>
      </c>
      <c r="C70" s="20" t="inlineStr">
        <is>
          <t>Clasificación: exigida por la UE</t>
        </is>
      </c>
      <c r="D70" s="20" t="inlineStr">
        <is>
          <t>BZ</t>
        </is>
      </c>
      <c r="E70" s="20" t="n"/>
      <c r="F70" s="20" t="inlineStr">
        <is>
          <t>No</t>
        </is>
      </c>
    </row>
    <row r="71">
      <c r="A71" s="20" t="n">
        <v>8</v>
      </c>
      <c r="B71" s="20" t="inlineStr">
        <is>
          <t>Observatorio Estatal de la Convivencia Escolar</t>
        </is>
      </c>
      <c r="C71" s="20" t="inlineStr">
        <is>
          <t>Clasificación: actividad reciente</t>
        </is>
      </c>
      <c r="D71" s="20" t="inlineStr">
        <is>
          <t>CA</t>
        </is>
      </c>
      <c r="E71" s="20" t="n"/>
      <c r="F71" s="20" t="inlineStr">
        <is>
          <t>Parcial</t>
        </is>
      </c>
    </row>
    <row r="72">
      <c r="A72" s="20" t="n">
        <v>8</v>
      </c>
      <c r="B72" s="20" t="inlineStr">
        <is>
          <t>Observatorio Estatal de la Convivencia Escolar</t>
        </is>
      </c>
      <c r="C72" s="20" t="inlineStr">
        <is>
          <t>Clasificación: motivo</t>
        </is>
      </c>
      <c r="D72" s="20" t="inlineStr">
        <is>
          <t>CB</t>
        </is>
      </c>
      <c r="E72" s="20" t="n"/>
      <c r="F72" s="20" t="inlineStr">
        <is>
          <t>Observatorio, consejo o comisión: el P100 los cierra salvo que su ministerio demuestre que su trabajo cambia decisiones o mejora un servicio; publicar informes no cuenta.</t>
        </is>
      </c>
    </row>
    <row r="73">
      <c r="A73" s="20" t="n">
        <v>8</v>
      </c>
      <c r="B73" s="20" t="inlineStr">
        <is>
          <t>Observatorio Estatal de la Convivencia Escolar</t>
        </is>
      </c>
      <c r="C73" s="20" t="inlineStr">
        <is>
          <t>Clasificación: base en el P100</t>
        </is>
      </c>
      <c r="D73" s="20" t="inlineStr">
        <is>
          <t>CC</t>
        </is>
      </c>
      <c r="E73" s="20" t="n"/>
      <c r="F73" s="20" t="inlineStr">
        <is>
          <t>Explícito en el P100: Costes del Estado 2</t>
        </is>
      </c>
    </row>
    <row r="74">
      <c r="A74" s="20" t="n">
        <v>8</v>
      </c>
      <c r="B74" s="20" t="inlineStr">
        <is>
          <t>Observatorio Estatal de la Convivencia Escolar</t>
        </is>
      </c>
      <c r="C74" s="20" t="inlineStr">
        <is>
          <t>Clasificación: destino de sus funciones</t>
        </is>
      </c>
      <c r="D74" s="20" t="inlineStr">
        <is>
          <t>CD</t>
        </is>
      </c>
      <c r="E74" s="20" t="n"/>
      <c r="F74" s="20" t="inlineStr">
        <is>
          <t>Estructura ordinaria del ministerio, si alguna función resultara imprescindible</t>
        </is>
      </c>
    </row>
    <row r="75">
      <c r="A75" s="20" t="n">
        <v>8</v>
      </c>
      <c r="B75" s="20" t="inlineStr">
        <is>
          <t>Observatorio Estatal de la Convivencia Escolar</t>
        </is>
      </c>
      <c r="C75" s="20" t="inlineStr">
        <is>
          <t>Tema funcional</t>
        </is>
      </c>
      <c r="D75" s="20" t="inlineStr">
        <is>
          <t>CE</t>
        </is>
      </c>
      <c r="E75" s="20" t="n"/>
      <c r="F75" s="20" t="inlineStr">
        <is>
          <t>Observatorios de convivencia escolar</t>
        </is>
      </c>
    </row>
    <row r="76">
      <c r="A76" s="20" t="n">
        <v>8</v>
      </c>
      <c r="B76" s="20" t="inlineStr">
        <is>
          <t>Observatorio Estatal de la Convivencia Escolar</t>
        </is>
      </c>
      <c r="C76" s="20" t="inlineStr">
        <is>
          <t>Organismos del mismo tema (Estado + CCAA, verificados)</t>
        </is>
      </c>
      <c r="D76" s="20" t="inlineStr">
        <is>
          <t>CF</t>
        </is>
      </c>
      <c r="E76" s="20" t="n"/>
      <c r="F76" s="20" t="n">
        <v>15</v>
      </c>
    </row>
    <row r="77">
      <c r="A77" s="20" t="n">
        <v>8</v>
      </c>
      <c r="B77" s="20" t="inlineStr">
        <is>
          <t>Observatorio Estatal de la Convivencia Escolar</t>
        </is>
      </c>
      <c r="C77" s="20" t="inlineStr">
        <is>
          <t>Coste de apoyo (sin presupuesto propio): unidad, vocales y dietas</t>
        </is>
      </c>
      <c r="D77" s="20" t="inlineStr">
        <is>
          <t>CG</t>
        </is>
      </c>
      <c r="E77" s="20" t="n"/>
      <c r="F77" s="20" t="inlineStr">
        <is>
          <t>Apoyo: Secretaría: titular de la SG del Centro Nacional de Innovación e Investigación Educativa (art. 3.1.d RD 275/2007, redacción RD 3/2018); personal por redistribución de efectivos del Ministerio de Educación. vocales: 27.</t>
        </is>
      </c>
    </row>
    <row r="78">
      <c r="A78" s="20" t="n">
        <v>9</v>
      </c>
      <c r="B78" s="20" t="inlineStr">
        <is>
          <t>Observatorio de la Vida Militar</t>
        </is>
      </c>
      <c r="C78" s="20" t="inlineStr">
        <is>
          <t>Fuentes de la ficha</t>
        </is>
      </c>
      <c r="D78" s="20" t="inlineStr">
        <is>
          <t>Z</t>
        </is>
      </c>
      <c r="E78" s="20" t="inlineStr">
        <is>
          <t>https://www.boe.es/diario_boe/txt.php?id=BOE-A-2011-12961
https://www.defensa.gob.es/gabinete/notasPrensa/2014/01/DGC-140114-constitucion-observatorio-01.html</t>
        </is>
      </c>
      <c r="F78" s="20" t="inlineStr">
        <is>
          <t>https://www.boe.es/diario_boe/txt.php?id=BOE-A-2011-12961
https://www.defensa.gob.es/gabinete/notasPrensa/2014/01/DGC-140114-constitucion-observatorio-01.html
https://www.boe.es/eli/es/lo/2011/07/27/9/con</t>
        </is>
      </c>
    </row>
    <row r="79">
      <c r="A79" s="20" t="n">
        <v>9</v>
      </c>
      <c r="B79" s="20" t="inlineStr">
        <is>
          <t>Observatorio de la Vida Militar</t>
        </is>
      </c>
      <c r="C79" s="20" t="inlineStr">
        <is>
          <t>Clasificación: útil / no útil</t>
        </is>
      </c>
      <c r="D79" s="20" t="inlineStr">
        <is>
          <t>BV</t>
        </is>
      </c>
      <c r="E79" s="20" t="n"/>
      <c r="F79" s="20" t="inlineStr">
        <is>
          <t>No útil</t>
        </is>
      </c>
    </row>
    <row r="80">
      <c r="A80" s="20" t="n">
        <v>9</v>
      </c>
      <c r="B80" s="20" t="inlineStr">
        <is>
          <t>Observatorio de la Vida Militar</t>
        </is>
      </c>
      <c r="C80" s="20" t="inlineStr">
        <is>
          <t>Clasificación: veredicto</t>
        </is>
      </c>
      <c r="D80" s="20" t="inlineStr">
        <is>
          <t>BW</t>
        </is>
      </c>
      <c r="E80" s="20" t="n"/>
      <c r="F80" s="20" t="inlineStr">
        <is>
          <t>Suprimir</t>
        </is>
      </c>
    </row>
    <row r="81">
      <c r="A81" s="20" t="n">
        <v>9</v>
      </c>
      <c r="B81" s="20" t="inlineStr">
        <is>
          <t>Observatorio de la Vida Militar</t>
        </is>
      </c>
      <c r="C81" s="20" t="inlineStr">
        <is>
          <t>Clasificación: función</t>
        </is>
      </c>
      <c r="D81" s="20" t="inlineStr">
        <is>
          <t>BX</t>
        </is>
      </c>
      <c r="E81" s="20" t="n"/>
      <c r="F81" s="20" t="inlineStr">
        <is>
          <t>Consultivo o participación</t>
        </is>
      </c>
    </row>
    <row r="82">
      <c r="A82" s="20" t="n">
        <v>9</v>
      </c>
      <c r="B82" s="20" t="inlineStr">
        <is>
          <t>Observatorio de la Vida Militar</t>
        </is>
      </c>
      <c r="C82" s="20" t="inlineStr">
        <is>
          <t>Clasificación: exigida por la UE</t>
        </is>
      </c>
      <c r="D82" s="20" t="inlineStr">
        <is>
          <t>BZ</t>
        </is>
      </c>
      <c r="E82" s="20" t="n"/>
      <c r="F82" s="20" t="inlineStr">
        <is>
          <t>No</t>
        </is>
      </c>
    </row>
    <row r="83">
      <c r="A83" s="20" t="n">
        <v>9</v>
      </c>
      <c r="B83" s="20" t="inlineStr">
        <is>
          <t>Observatorio de la Vida Militar</t>
        </is>
      </c>
      <c r="C83" s="20" t="inlineStr">
        <is>
          <t>Clasificación: actividad reciente</t>
        </is>
      </c>
      <c r="D83" s="20" t="inlineStr">
        <is>
          <t>CA</t>
        </is>
      </c>
      <c r="E83" s="20" t="n"/>
      <c r="F83" s="20" t="inlineStr">
        <is>
          <t>Acreditada</t>
        </is>
      </c>
    </row>
    <row r="84">
      <c r="A84" s="20" t="n">
        <v>9</v>
      </c>
      <c r="B84" s="20" t="inlineStr">
        <is>
          <t>Observatorio de la Vida Militar</t>
        </is>
      </c>
      <c r="C84" s="20" t="inlineStr">
        <is>
          <t>Clasificación: motivo</t>
        </is>
      </c>
      <c r="D84" s="20" t="inlineStr">
        <is>
          <t>CB</t>
        </is>
      </c>
      <c r="E84" s="20" t="n"/>
      <c r="F84" s="20" t="inlineStr">
        <is>
          <t>Observatorio, consejo o comisión: el P100 los cierra salvo que su ministerio demuestre que su trabajo cambia decisiones o mejora un servicio; publicar informes no cuenta.</t>
        </is>
      </c>
    </row>
    <row r="85">
      <c r="A85" s="20" t="n">
        <v>9</v>
      </c>
      <c r="B85" s="20" t="inlineStr">
        <is>
          <t>Observatorio de la Vida Militar</t>
        </is>
      </c>
      <c r="C85" s="20" t="inlineStr">
        <is>
          <t>Clasificación: base en el P100</t>
        </is>
      </c>
      <c r="D85" s="20" t="inlineStr">
        <is>
          <t>CC</t>
        </is>
      </c>
      <c r="E85" s="20" t="n"/>
      <c r="F85" s="20" t="inlineStr">
        <is>
          <t>Explícito en el P100: Costes del Estado 2</t>
        </is>
      </c>
    </row>
    <row r="86">
      <c r="A86" s="20" t="n">
        <v>9</v>
      </c>
      <c r="B86" s="20" t="inlineStr">
        <is>
          <t>Observatorio de la Vida Militar</t>
        </is>
      </c>
      <c r="C86" s="20" t="inlineStr">
        <is>
          <t>Clasificación: destino de sus funciones</t>
        </is>
      </c>
      <c r="D86" s="20" t="inlineStr">
        <is>
          <t>CD</t>
        </is>
      </c>
      <c r="E86" s="20" t="n"/>
      <c r="F86" s="20" t="inlineStr">
        <is>
          <t>Estructura ordinaria del ministerio, si alguna función resultara imprescindible</t>
        </is>
      </c>
    </row>
    <row r="87">
      <c r="A87" s="20" t="n">
        <v>9</v>
      </c>
      <c r="B87" s="20" t="inlineStr">
        <is>
          <t>Observatorio de la Vida Militar</t>
        </is>
      </c>
      <c r="C87" s="20" t="inlineStr">
        <is>
          <t>Tema funcional</t>
        </is>
      </c>
      <c r="D87" s="20" t="inlineStr">
        <is>
          <t>CE</t>
        </is>
      </c>
      <c r="E87" s="20" t="n"/>
      <c r="F87" s="20" t="inlineStr">
        <is>
          <t>Vida militar</t>
        </is>
      </c>
    </row>
    <row r="88">
      <c r="A88" s="20" t="n">
        <v>9</v>
      </c>
      <c r="B88" s="20" t="inlineStr">
        <is>
          <t>Observatorio de la Vida Militar</t>
        </is>
      </c>
      <c r="C88" s="20" t="inlineStr">
        <is>
          <t>Coste de apoyo (sin presupuesto propio): unidad, vocales y dietas</t>
        </is>
      </c>
      <c r="D88" s="20" t="inlineStr">
        <is>
          <t>CG</t>
        </is>
      </c>
      <c r="E88" s="20" t="n"/>
      <c r="F88" s="20" t="inlineStr">
        <is>
          <t>Apoyo: Ministerio de Defensa: sede, apoyo administrativo y «órgano de trabajo permanente» (art. 53.2 LO 9/2011). puestos asignados según fuente oficial: 7. vocales: 9. miembros: no retribuidos (art. 55.1 LO 9/2011: «La pertenencia al Observatorio no será retribuida»). gasto con nombre propio: 2014: 5.212 EUR abonados por la Subsecretaría de Defensa (RED n.º 319, 2015, https://working.mde.es/Galerias/gabinete/red/2015/red-319-observatorio-vida-militar.pdf) | 2015: autorización de gasto de 55.000 EUR para dietas en la Sección 14-Defensa (Ley 36/2014 de PGE) y presupuesto 2016 del OVM de 55.979,10 EUR sin partida en la Ley 48/2015 (Memoria-Informe 2015 del OVM, https://www.prevencionintegral.com/sites/default/files/noticia/36030/field_adjuntos/pdft076-16observatoriovidamilitar20151.pdf).</t>
        </is>
      </c>
    </row>
    <row r="89">
      <c r="A89" s="20" t="n">
        <v>10</v>
      </c>
      <c r="B89" s="20" t="inlineStr">
        <is>
          <t>Observatorio Universitario de Becas, Ayudas al Estudio y Rendimiento Académico</t>
        </is>
      </c>
      <c r="C89" s="20" t="inlineStr">
        <is>
          <t>Fuentes de la ficha</t>
        </is>
      </c>
      <c r="D89" s="20" t="inlineStr">
        <is>
          <t>Z</t>
        </is>
      </c>
      <c r="E89" s="20" t="inlineStr">
        <is>
          <t>https://www.boe.es/buscar/act.php?id=BOE-A-2010-15786
https://www.ull.es/portal/normativa/normativa/real-decreto-1220-2010-de-1-de-octubre-por-el-que-se-crea-el-observatorio-universitario-de-becas-ayudas-al-estudio-y-rendimiento-academico/</t>
        </is>
      </c>
      <c r="F89" s="20" t="inlineStr">
        <is>
          <t>https://www.boe.es/buscar/act.php?id=BOE-A-2010-15786
https://www.ull.es/portal/normativa/normativa/real-decreto-1220-2010-de-1-de-octubre-por-el-que-se-crea-el-observatorio-universitario-de-becas-ayudas-al-estudio-y-rendimiento-academico/
https://www.boe.es/eli/es/rd/2010/10/01/1220/con</t>
        </is>
      </c>
    </row>
    <row r="90">
      <c r="A90" s="20" t="n">
        <v>10</v>
      </c>
      <c r="B90" s="20" t="inlineStr">
        <is>
          <t>Observatorio Universitario de Becas, Ayudas al Estudio y Rendimiento Académico</t>
        </is>
      </c>
      <c r="C90" s="20" t="inlineStr">
        <is>
          <t>Clasificación: útil / no útil</t>
        </is>
      </c>
      <c r="D90" s="20" t="inlineStr">
        <is>
          <t>BV</t>
        </is>
      </c>
      <c r="E90" s="20" t="n"/>
      <c r="F90" s="20" t="inlineStr">
        <is>
          <t>No útil</t>
        </is>
      </c>
    </row>
    <row r="91">
      <c r="A91" s="20" t="n">
        <v>10</v>
      </c>
      <c r="B91" s="20" t="inlineStr">
        <is>
          <t>Observatorio Universitario de Becas, Ayudas al Estudio y Rendimiento Académico</t>
        </is>
      </c>
      <c r="C91" s="20" t="inlineStr">
        <is>
          <t>Clasificación: veredicto</t>
        </is>
      </c>
      <c r="D91" s="20" t="inlineStr">
        <is>
          <t>BW</t>
        </is>
      </c>
      <c r="E91" s="20" t="n"/>
      <c r="F91" s="20" t="inlineStr">
        <is>
          <t>Suprimir</t>
        </is>
      </c>
    </row>
    <row r="92">
      <c r="A92" s="20" t="n">
        <v>10</v>
      </c>
      <c r="B92" s="20" t="inlineStr">
        <is>
          <t>Observatorio Universitario de Becas, Ayudas al Estudio y Rendimiento Académico</t>
        </is>
      </c>
      <c r="C92" s="20" t="inlineStr">
        <is>
          <t>Clasificación: función</t>
        </is>
      </c>
      <c r="D92" s="20" t="inlineStr">
        <is>
          <t>BX</t>
        </is>
      </c>
      <c r="E92" s="20" t="n"/>
      <c r="F92" s="20" t="inlineStr">
        <is>
          <t>Consultivo o participación</t>
        </is>
      </c>
    </row>
    <row r="93">
      <c r="A93" s="20" t="n">
        <v>10</v>
      </c>
      <c r="B93" s="20" t="inlineStr">
        <is>
          <t>Observatorio Universitario de Becas, Ayudas al Estudio y Rendimiento Académico</t>
        </is>
      </c>
      <c r="C93" s="20" t="inlineStr">
        <is>
          <t>Clasificación: exigida por la UE</t>
        </is>
      </c>
      <c r="D93" s="20" t="inlineStr">
        <is>
          <t>BZ</t>
        </is>
      </c>
      <c r="E93" s="20" t="n"/>
      <c r="F93" s="20" t="inlineStr">
        <is>
          <t>No</t>
        </is>
      </c>
    </row>
    <row r="94">
      <c r="A94" s="20" t="n">
        <v>10</v>
      </c>
      <c r="B94" s="20" t="inlineStr">
        <is>
          <t>Observatorio Universitario de Becas, Ayudas al Estudio y Rendimiento Académico</t>
        </is>
      </c>
      <c r="C94" s="20" t="inlineStr">
        <is>
          <t>Clasificación: actividad reciente</t>
        </is>
      </c>
      <c r="D94" s="20" t="inlineStr">
        <is>
          <t>CA</t>
        </is>
      </c>
      <c r="E94" s="20" t="n"/>
      <c r="F94" s="20" t="inlineStr">
        <is>
          <t>No acreditada</t>
        </is>
      </c>
    </row>
    <row r="95">
      <c r="A95" s="20" t="n">
        <v>10</v>
      </c>
      <c r="B95" s="20" t="inlineStr">
        <is>
          <t>Observatorio Universitario de Becas, Ayudas al Estudio y Rendimiento Académico</t>
        </is>
      </c>
      <c r="C95" s="20" t="inlineStr">
        <is>
          <t>Clasificación: motivo</t>
        </is>
      </c>
      <c r="D95" s="20" t="inlineStr">
        <is>
          <t>CB</t>
        </is>
      </c>
      <c r="E95" s="20" t="n"/>
      <c r="F95" s="20" t="inlineStr">
        <is>
          <t>Observatorio, consejo o comisión: el P100 los cierra salvo que su ministerio demuestre que su trabajo cambia decisiones o mejora un servicio; publicar informes no cuenta.</t>
        </is>
      </c>
    </row>
    <row r="96">
      <c r="A96" s="20" t="n">
        <v>10</v>
      </c>
      <c r="B96" s="20" t="inlineStr">
        <is>
          <t>Observatorio Universitario de Becas, Ayudas al Estudio y Rendimiento Académico</t>
        </is>
      </c>
      <c r="C96" s="20" t="inlineStr">
        <is>
          <t>Clasificación: base en el P100</t>
        </is>
      </c>
      <c r="D96" s="20" t="inlineStr">
        <is>
          <t>CC</t>
        </is>
      </c>
      <c r="E96" s="20" t="n"/>
      <c r="F96" s="20" t="inlineStr">
        <is>
          <t>Explícito en el P100: Costes del Estado 2</t>
        </is>
      </c>
    </row>
    <row r="97">
      <c r="A97" s="20" t="n">
        <v>10</v>
      </c>
      <c r="B97" s="20" t="inlineStr">
        <is>
          <t>Observatorio Universitario de Becas, Ayudas al Estudio y Rendimiento Académico</t>
        </is>
      </c>
      <c r="C97" s="20" t="inlineStr">
        <is>
          <t>Clasificación: destino de sus funciones</t>
        </is>
      </c>
      <c r="D97" s="20" t="inlineStr">
        <is>
          <t>CD</t>
        </is>
      </c>
      <c r="E97" s="20" t="n"/>
      <c r="F97" s="20" t="inlineStr">
        <is>
          <t>Estructura ordinaria del ministerio, si alguna función resultara imprescindible</t>
        </is>
      </c>
    </row>
    <row r="98">
      <c r="A98" s="20" t="n">
        <v>10</v>
      </c>
      <c r="B98" s="20" t="inlineStr">
        <is>
          <t>Observatorio Universitario de Becas, Ayudas al Estudio y Rendimiento Académico</t>
        </is>
      </c>
      <c r="C98" s="20" t="inlineStr">
        <is>
          <t>Tema funcional</t>
        </is>
      </c>
      <c r="D98" s="20" t="inlineStr">
        <is>
          <t>CE</t>
        </is>
      </c>
      <c r="E98" s="20" t="n"/>
      <c r="F98" s="20" t="inlineStr">
        <is>
          <t>Becas universitarias</t>
        </is>
      </c>
    </row>
    <row r="99">
      <c r="A99" s="20" t="n">
        <v>10</v>
      </c>
      <c r="B99" s="20" t="inlineStr">
        <is>
          <t>Observatorio Universitario de Becas, Ayudas al Estudio y Rendimiento Académico</t>
        </is>
      </c>
      <c r="C99" s="20" t="inlineStr">
        <is>
          <t>Coste de apoyo (sin presupuesto propio): unidad, vocales y dietas</t>
        </is>
      </c>
      <c r="D99" s="20" t="inlineStr">
        <is>
          <t>CG</t>
        </is>
      </c>
      <c r="E99" s="20" t="n"/>
      <c r="F99" s="20" t="inlineStr">
        <is>
          <t>Apoyo: Unidad Técnica y Secretaría Permanente atendidas por personal de la SG de Análisis, Estudios y Prospectiva Universitaria (art. 7.2 y DA única RD 1220/2010). vocales: 18.</t>
        </is>
      </c>
    </row>
    <row r="100">
      <c r="A100" s="20" t="n">
        <v>11</v>
      </c>
      <c r="B100" s="20" t="inlineStr">
        <is>
          <t>Observatorio del Empleo Público</t>
        </is>
      </c>
      <c r="C100" s="20" t="inlineStr">
        <is>
          <t>Clasificación: útil / no útil</t>
        </is>
      </c>
      <c r="D100" s="20" t="inlineStr">
        <is>
          <t>BV</t>
        </is>
      </c>
      <c r="E100" s="20" t="n"/>
      <c r="F100" s="20" t="inlineStr">
        <is>
          <t>No útil</t>
        </is>
      </c>
    </row>
    <row r="101">
      <c r="A101" s="20" t="n">
        <v>11</v>
      </c>
      <c r="B101" s="20" t="inlineStr">
        <is>
          <t>Observatorio del Empleo Público</t>
        </is>
      </c>
      <c r="C101" s="20" t="inlineStr">
        <is>
          <t>Clasificación: veredicto</t>
        </is>
      </c>
      <c r="D101" s="20" t="inlineStr">
        <is>
          <t>BW</t>
        </is>
      </c>
      <c r="E101" s="20" t="n"/>
      <c r="F101" s="20" t="inlineStr">
        <is>
          <t>Suprimir</t>
        </is>
      </c>
    </row>
    <row r="102">
      <c r="A102" s="20" t="n">
        <v>11</v>
      </c>
      <c r="B102" s="20" t="inlineStr">
        <is>
          <t>Observatorio del Empleo Público</t>
        </is>
      </c>
      <c r="C102" s="20" t="inlineStr">
        <is>
          <t>Clasificación: función</t>
        </is>
      </c>
      <c r="D102" s="20" t="inlineStr">
        <is>
          <t>BX</t>
        </is>
      </c>
      <c r="E102" s="20" t="n"/>
      <c r="F102" s="20" t="inlineStr">
        <is>
          <t>Consultivo o participación</t>
        </is>
      </c>
    </row>
    <row r="103">
      <c r="A103" s="20" t="n">
        <v>11</v>
      </c>
      <c r="B103" s="20" t="inlineStr">
        <is>
          <t>Observatorio del Empleo Público</t>
        </is>
      </c>
      <c r="C103" s="20" t="inlineStr">
        <is>
          <t>Clasificación: exigida por la UE</t>
        </is>
      </c>
      <c r="D103" s="20" t="inlineStr">
        <is>
          <t>BZ</t>
        </is>
      </c>
      <c r="E103" s="20" t="n"/>
      <c r="F103" s="20" t="inlineStr">
        <is>
          <t>No</t>
        </is>
      </c>
    </row>
    <row r="104">
      <c r="A104" s="20" t="n">
        <v>11</v>
      </c>
      <c r="B104" s="20" t="inlineStr">
        <is>
          <t>Observatorio del Empleo Público</t>
        </is>
      </c>
      <c r="C104" s="20" t="inlineStr">
        <is>
          <t>Clasificación: actividad reciente</t>
        </is>
      </c>
      <c r="D104" s="20" t="inlineStr">
        <is>
          <t>CA</t>
        </is>
      </c>
      <c r="E104" s="20" t="n"/>
      <c r="F104" s="20" t="inlineStr">
        <is>
          <t>No acreditada</t>
        </is>
      </c>
    </row>
    <row r="105">
      <c r="A105" s="20" t="n">
        <v>11</v>
      </c>
      <c r="B105" s="20" t="inlineStr">
        <is>
          <t>Observatorio del Empleo Público</t>
        </is>
      </c>
      <c r="C105" s="20" t="inlineStr">
        <is>
          <t>Clasificación: motivo</t>
        </is>
      </c>
      <c r="D105" s="20" t="inlineStr">
        <is>
          <t>CB</t>
        </is>
      </c>
      <c r="E105" s="20" t="n"/>
      <c r="F105" s="20" t="inlineStr">
        <is>
          <t>Observatorio, consejo o comisión: el P100 los cierra salvo que su ministerio demuestre que su trabajo cambia decisiones o mejora un servicio; publicar informes no cuenta.</t>
        </is>
      </c>
    </row>
    <row r="106">
      <c r="A106" s="20" t="n">
        <v>11</v>
      </c>
      <c r="B106" s="20" t="inlineStr">
        <is>
          <t>Observatorio del Empleo Público</t>
        </is>
      </c>
      <c r="C106" s="20" t="inlineStr">
        <is>
          <t>Clasificación: base en el P100</t>
        </is>
      </c>
      <c r="D106" s="20" t="inlineStr">
        <is>
          <t>CC</t>
        </is>
      </c>
      <c r="E106" s="20" t="n"/>
      <c r="F106" s="20" t="inlineStr">
        <is>
          <t>Explícito en el P100: Costes del Estado 2</t>
        </is>
      </c>
    </row>
    <row r="107">
      <c r="A107" s="20" t="n">
        <v>11</v>
      </c>
      <c r="B107" s="20" t="inlineStr">
        <is>
          <t>Observatorio del Empleo Público</t>
        </is>
      </c>
      <c r="C107" s="20" t="inlineStr">
        <is>
          <t>Clasificación: destino de sus funciones</t>
        </is>
      </c>
      <c r="D107" s="20" t="inlineStr">
        <is>
          <t>CD</t>
        </is>
      </c>
      <c r="E107" s="20" t="n"/>
      <c r="F107" s="20" t="inlineStr">
        <is>
          <t>Estructura ordinaria del ministerio, si alguna función resultara imprescindible</t>
        </is>
      </c>
    </row>
    <row r="108">
      <c r="A108" s="20" t="n">
        <v>11</v>
      </c>
      <c r="B108" s="20" t="inlineStr">
        <is>
          <t>Observatorio del Empleo Público</t>
        </is>
      </c>
      <c r="C108" s="20" t="inlineStr">
        <is>
          <t>Tema funcional</t>
        </is>
      </c>
      <c r="D108" s="20" t="inlineStr">
        <is>
          <t>CE</t>
        </is>
      </c>
      <c r="E108" s="20" t="n"/>
      <c r="F108" s="20" t="inlineStr">
        <is>
          <t>Empleo público</t>
        </is>
      </c>
    </row>
    <row r="109">
      <c r="A109" s="20" t="n">
        <v>11</v>
      </c>
      <c r="B109" s="20" t="inlineStr">
        <is>
          <t>Observatorio del Empleo Público</t>
        </is>
      </c>
      <c r="C109" s="20" t="inlineStr">
        <is>
          <t>Coste de apoyo (sin presupuesto propio): unidad, vocales y dietas</t>
        </is>
      </c>
      <c r="D109" s="20" t="inlineStr">
        <is>
          <t>CG</t>
        </is>
      </c>
      <c r="E109" s="20" t="n"/>
      <c r="F109" s="20" t="inlineStr">
        <is>
          <t>Apoyo: Secretariado: titular de una SG de la DG de la Función Pública (art. 4.1.e); medios técnicos, personales y materiales de la SE de Función Pública a través de la DG de la Función Pública (DA 2.ª.1 RD 868/2010). vocales: 21.</t>
        </is>
      </c>
    </row>
    <row r="110">
      <c r="A110" s="20" t="n">
        <v>12</v>
      </c>
      <c r="B110" s="20" t="inlineStr">
        <is>
          <t>Observatorio de la Internacionalización</t>
        </is>
      </c>
      <c r="C110" s="20" t="inlineStr">
        <is>
          <t>Fuentes de la ficha</t>
        </is>
      </c>
      <c r="D110" s="20" t="inlineStr">
        <is>
          <t>Z</t>
        </is>
      </c>
      <c r="E110" s="20" t="inlineStr">
        <is>
          <t>https://www.boe.es/buscar/doc.php?id=BOE-A-2009-6645</t>
        </is>
      </c>
      <c r="F110" s="20" t="inlineStr">
        <is>
          <t>https://www.boe.es/buscar/doc.php?id=BOE-A-2009-6645
https://www.boe.es/eli/es/rd/2009/03/27/430</t>
        </is>
      </c>
    </row>
    <row r="111">
      <c r="A111" s="20" t="n">
        <v>12</v>
      </c>
      <c r="B111" s="20" t="inlineStr">
        <is>
          <t>Observatorio de la Internacionalización</t>
        </is>
      </c>
      <c r="C111" s="20" t="inlineStr">
        <is>
          <t>Clasificación: útil / no útil</t>
        </is>
      </c>
      <c r="D111" s="20" t="inlineStr">
        <is>
          <t>BV</t>
        </is>
      </c>
      <c r="E111" s="20" t="n"/>
      <c r="F111" s="20" t="inlineStr">
        <is>
          <t>No útil</t>
        </is>
      </c>
    </row>
    <row r="112">
      <c r="A112" s="20" t="n">
        <v>12</v>
      </c>
      <c r="B112" s="20" t="inlineStr">
        <is>
          <t>Observatorio de la Internacionalización</t>
        </is>
      </c>
      <c r="C112" s="20" t="inlineStr">
        <is>
          <t>Clasificación: veredicto</t>
        </is>
      </c>
      <c r="D112" s="20" t="inlineStr">
        <is>
          <t>BW</t>
        </is>
      </c>
      <c r="E112" s="20" t="n"/>
      <c r="F112" s="20" t="inlineStr">
        <is>
          <t>Suprimir</t>
        </is>
      </c>
    </row>
    <row r="113">
      <c r="A113" s="20" t="n">
        <v>12</v>
      </c>
      <c r="B113" s="20" t="inlineStr">
        <is>
          <t>Observatorio de la Internacionalización</t>
        </is>
      </c>
      <c r="C113" s="20" t="inlineStr">
        <is>
          <t>Clasificación: función</t>
        </is>
      </c>
      <c r="D113" s="20" t="inlineStr">
        <is>
          <t>BX</t>
        </is>
      </c>
      <c r="E113" s="20" t="n"/>
      <c r="F113" s="20" t="inlineStr">
        <is>
          <t>Consultivo o participación</t>
        </is>
      </c>
    </row>
    <row r="114">
      <c r="A114" s="20" t="n">
        <v>12</v>
      </c>
      <c r="B114" s="20" t="inlineStr">
        <is>
          <t>Observatorio de la Internacionalización</t>
        </is>
      </c>
      <c r="C114" s="20" t="inlineStr">
        <is>
          <t>Clasificación: exigida por la UE</t>
        </is>
      </c>
      <c r="D114" s="20" t="inlineStr">
        <is>
          <t>BZ</t>
        </is>
      </c>
      <c r="E114" s="20" t="n"/>
      <c r="F114" s="20" t="inlineStr">
        <is>
          <t>No</t>
        </is>
      </c>
    </row>
    <row r="115">
      <c r="A115" s="20" t="n">
        <v>12</v>
      </c>
      <c r="B115" s="20" t="inlineStr">
        <is>
          <t>Observatorio de la Internacionalización</t>
        </is>
      </c>
      <c r="C115" s="20" t="inlineStr">
        <is>
          <t>Clasificación: actividad reciente</t>
        </is>
      </c>
      <c r="D115" s="20" t="inlineStr">
        <is>
          <t>CA</t>
        </is>
      </c>
      <c r="E115" s="20" t="n"/>
      <c r="F115" s="20" t="inlineStr">
        <is>
          <t>No acreditada</t>
        </is>
      </c>
    </row>
    <row r="116">
      <c r="A116" s="20" t="n">
        <v>12</v>
      </c>
      <c r="B116" s="20" t="inlineStr">
        <is>
          <t>Observatorio de la Internacionalización</t>
        </is>
      </c>
      <c r="C116" s="20" t="inlineStr">
        <is>
          <t>Clasificación: motivo</t>
        </is>
      </c>
      <c r="D116" s="20" t="inlineStr">
        <is>
          <t>CB</t>
        </is>
      </c>
      <c r="E116" s="20" t="n"/>
      <c r="F116" s="20" t="inlineStr">
        <is>
          <t>Observatorio, consejo o comisión: el P100 los cierra salvo que su ministerio demuestre que su trabajo cambia decisiones o mejora un servicio; publicar informes no cuenta.</t>
        </is>
      </c>
    </row>
    <row r="117">
      <c r="A117" s="20" t="n">
        <v>12</v>
      </c>
      <c r="B117" s="20" t="inlineStr">
        <is>
          <t>Observatorio de la Internacionalización</t>
        </is>
      </c>
      <c r="C117" s="20" t="inlineStr">
        <is>
          <t>Clasificación: base en el P100</t>
        </is>
      </c>
      <c r="D117" s="20" t="inlineStr">
        <is>
          <t>CC</t>
        </is>
      </c>
      <c r="E117" s="20" t="n"/>
      <c r="F117" s="20" t="inlineStr">
        <is>
          <t>Explícito en el P100: Costes del Estado 2</t>
        </is>
      </c>
    </row>
    <row r="118">
      <c r="A118" s="20" t="n">
        <v>12</v>
      </c>
      <c r="B118" s="20" t="inlineStr">
        <is>
          <t>Observatorio de la Internacionalización</t>
        </is>
      </c>
      <c r="C118" s="20" t="inlineStr">
        <is>
          <t>Clasificación: destino de sus funciones</t>
        </is>
      </c>
      <c r="D118" s="20" t="inlineStr">
        <is>
          <t>CD</t>
        </is>
      </c>
      <c r="E118" s="20" t="n"/>
      <c r="F118" s="20" t="inlineStr">
        <is>
          <t>Estructura ordinaria del ministerio, si alguna función resultara imprescindible</t>
        </is>
      </c>
    </row>
    <row r="119">
      <c r="A119" s="20" t="n">
        <v>12</v>
      </c>
      <c r="B119" s="20" t="inlineStr">
        <is>
          <t>Observatorio de la Internacionalización</t>
        </is>
      </c>
      <c r="C119" s="20" t="inlineStr">
        <is>
          <t>Tema funcional</t>
        </is>
      </c>
      <c r="D119" s="20" t="inlineStr">
        <is>
          <t>CE</t>
        </is>
      </c>
      <c r="E119" s="20" t="n"/>
      <c r="F119" s="20" t="inlineStr">
        <is>
          <t>Internacionalización empresarial</t>
        </is>
      </c>
    </row>
    <row r="120">
      <c r="A120" s="20" t="n">
        <v>12</v>
      </c>
      <c r="B120" s="20" t="inlineStr">
        <is>
          <t>Observatorio de la Internacionalización</t>
        </is>
      </c>
      <c r="C120" s="20" t="inlineStr">
        <is>
          <t>Coste de apoyo (sin presupuesto propio): unidad, vocales y dietas</t>
        </is>
      </c>
      <c r="D120" s="20" t="inlineStr">
        <is>
          <t>CG</t>
        </is>
      </c>
      <c r="E120" s="20" t="n"/>
      <c r="F120" s="20" t="inlineStr">
        <is>
          <t>Apoyo: Secretaría General Permanente: titular de la SG de Análisis, Estrategia y Evaluación de la SE de Comercio (art. 4.3); medios técnicos, personales y materiales de la SE de Comercio (DA única RD 430/2009). vocales: 24. miembros: no retribuidos (DA única RD 430/2009: el funcionamiento «no supondrá incremento de gasto, ya sea por indemnizaciones, asistencias»).</t>
        </is>
      </c>
    </row>
    <row r="121">
      <c r="A121" s="20" t="n">
        <v>13</v>
      </c>
      <c r="B121" s="20" t="inlineStr">
        <is>
          <t>Observatorio Estatal de Violencia sobre la Mujer</t>
        </is>
      </c>
      <c r="C121" s="20" t="inlineStr">
        <is>
          <t>Fuentes de la ficha</t>
        </is>
      </c>
      <c r="D121" s="20" t="inlineStr">
        <is>
          <t>Z</t>
        </is>
      </c>
      <c r="E121" s="20" t="inlineStr">
        <is>
          <t>https://www.boe.es/eli/es/lo/2004/12/28/1
https://violenciagenero.igualdad.gob.es/violenciaencifras/observatorio/informesanuales/xviii-informe-anual-del-observatorio-estatal-de-violencia-sobre-la-mujer-2024/</t>
        </is>
      </c>
      <c r="F121" s="20" t="inlineStr">
        <is>
          <t>https://www.boe.es/eli/es/lo/2004/12/28/1
https://violenciagenero.igualdad.gob.es/violenciaencifras/observatorio/informesanuales/xviii-informe-anual-del-observatorio-estatal-de-violencia-sobre-la-mujer-2024/
https://www.boe.es/eli/es/rd/2022/09/13/752/con</t>
        </is>
      </c>
    </row>
    <row r="122">
      <c r="A122" s="20" t="n">
        <v>13</v>
      </c>
      <c r="B122" s="20" t="inlineStr">
        <is>
          <t>Observatorio Estatal de Violencia sobre la Mujer</t>
        </is>
      </c>
      <c r="C122" s="20" t="inlineStr">
        <is>
          <t>Clasificación: útil / no útil</t>
        </is>
      </c>
      <c r="D122" s="20" t="inlineStr">
        <is>
          <t>BV</t>
        </is>
      </c>
      <c r="E122" s="20" t="n"/>
      <c r="F122" s="20" t="inlineStr">
        <is>
          <t>No útil</t>
        </is>
      </c>
    </row>
    <row r="123">
      <c r="A123" s="20" t="n">
        <v>13</v>
      </c>
      <c r="B123" s="20" t="inlineStr">
        <is>
          <t>Observatorio Estatal de Violencia sobre la Mujer</t>
        </is>
      </c>
      <c r="C123" s="20" t="inlineStr">
        <is>
          <t>Clasificación: veredicto</t>
        </is>
      </c>
      <c r="D123" s="20" t="inlineStr">
        <is>
          <t>BW</t>
        </is>
      </c>
      <c r="E123" s="20" t="n"/>
      <c r="F123" s="20" t="inlineStr">
        <is>
          <t>Suprimir</t>
        </is>
      </c>
    </row>
    <row r="124">
      <c r="A124" s="20" t="n">
        <v>13</v>
      </c>
      <c r="B124" s="20" t="inlineStr">
        <is>
          <t>Observatorio Estatal de Violencia sobre la Mujer</t>
        </is>
      </c>
      <c r="C124" s="20" t="inlineStr">
        <is>
          <t>Clasificación: función</t>
        </is>
      </c>
      <c r="D124" s="20" t="inlineStr">
        <is>
          <t>BX</t>
        </is>
      </c>
      <c r="E124" s="20" t="n"/>
      <c r="F124" s="20" t="inlineStr">
        <is>
          <t>Consultivo o participación</t>
        </is>
      </c>
    </row>
    <row r="125">
      <c r="A125" s="20" t="n">
        <v>13</v>
      </c>
      <c r="B125" s="20" t="inlineStr">
        <is>
          <t>Observatorio Estatal de Violencia sobre la Mujer</t>
        </is>
      </c>
      <c r="C125" s="20" t="inlineStr">
        <is>
          <t>Clasificación: duplicidad</t>
        </is>
      </c>
      <c r="D125" s="20" t="inlineStr">
        <is>
          <t>BY</t>
        </is>
      </c>
      <c r="E125" s="20" t="n"/>
      <c r="F125" s="20" t="inlineStr">
        <is>
          <t>Organismo estatal de referencia. 10 comunidades tienen el suyo propio; 11 organismos sobre este tema entre el Estado y las CCAA (verificados).</t>
        </is>
      </c>
    </row>
    <row r="126">
      <c r="A126" s="20" t="n">
        <v>13</v>
      </c>
      <c r="B126" s="20" t="inlineStr">
        <is>
          <t>Observatorio Estatal de Violencia sobre la Mujer</t>
        </is>
      </c>
      <c r="C126" s="20" t="inlineStr">
        <is>
          <t>Clasificación: exigida por la UE</t>
        </is>
      </c>
      <c r="D126" s="20" t="inlineStr">
        <is>
          <t>BZ</t>
        </is>
      </c>
      <c r="E126" s="20" t="n"/>
      <c r="F126" s="20" t="inlineStr">
        <is>
          <t>No</t>
        </is>
      </c>
    </row>
    <row r="127">
      <c r="A127" s="20" t="n">
        <v>13</v>
      </c>
      <c r="B127" s="20" t="inlineStr">
        <is>
          <t>Observatorio Estatal de Violencia sobre la Mujer</t>
        </is>
      </c>
      <c r="C127" s="20" t="inlineStr">
        <is>
          <t>Clasificación: actividad reciente</t>
        </is>
      </c>
      <c r="D127" s="20" t="inlineStr">
        <is>
          <t>CA</t>
        </is>
      </c>
      <c r="E127" s="20" t="n"/>
      <c r="F127" s="20" t="inlineStr">
        <is>
          <t>Acreditada</t>
        </is>
      </c>
    </row>
    <row r="128">
      <c r="A128" s="20" t="n">
        <v>13</v>
      </c>
      <c r="B128" s="20" t="inlineStr">
        <is>
          <t>Observatorio Estatal de Violencia sobre la Mujer</t>
        </is>
      </c>
      <c r="C128" s="20" t="inlineStr">
        <is>
          <t>Clasificación: motivo</t>
        </is>
      </c>
      <c r="D128" s="20" t="inlineStr">
        <is>
          <t>CB</t>
        </is>
      </c>
      <c r="E128" s="20" t="n"/>
      <c r="F128" s="20" t="inlineStr">
        <is>
          <t>Observatorio, consejo o comisión: el P100 los cierra salvo que su ministerio demuestre que su trabajo cambia decisiones o mejora un servicio; publicar informes no cuenta.</t>
        </is>
      </c>
    </row>
    <row r="129">
      <c r="A129" s="20" t="n">
        <v>13</v>
      </c>
      <c r="B129" s="20" t="inlineStr">
        <is>
          <t>Observatorio Estatal de Violencia sobre la Mujer</t>
        </is>
      </c>
      <c r="C129" s="20" t="inlineStr">
        <is>
          <t>Clasificación: base en el P100</t>
        </is>
      </c>
      <c r="D129" s="20" t="inlineStr">
        <is>
          <t>CC</t>
        </is>
      </c>
      <c r="E129" s="20" t="n"/>
      <c r="F129" s="20" t="inlineStr">
        <is>
          <t>Explícito en el P100: Costes del Estado 2</t>
        </is>
      </c>
    </row>
    <row r="130">
      <c r="A130" s="20" t="n">
        <v>13</v>
      </c>
      <c r="B130" s="20" t="inlineStr">
        <is>
          <t>Observatorio Estatal de Violencia sobre la Mujer</t>
        </is>
      </c>
      <c r="C130" s="20" t="inlineStr">
        <is>
          <t>Clasificación: destino de sus funciones</t>
        </is>
      </c>
      <c r="D130" s="20" t="inlineStr">
        <is>
          <t>CD</t>
        </is>
      </c>
      <c r="E130" s="20" t="n"/>
      <c r="F130" s="20" t="inlineStr">
        <is>
          <t>Estructura ordinaria del ministerio, si alguna función resultara imprescindible</t>
        </is>
      </c>
    </row>
    <row r="131">
      <c r="A131" s="20" t="n">
        <v>13</v>
      </c>
      <c r="B131" s="20" t="inlineStr">
        <is>
          <t>Observatorio Estatal de Violencia sobre la Mujer</t>
        </is>
      </c>
      <c r="C131" s="20" t="inlineStr">
        <is>
          <t>Tema funcional</t>
        </is>
      </c>
      <c r="D131" s="20" t="inlineStr">
        <is>
          <t>CE</t>
        </is>
      </c>
      <c r="E131" s="20" t="n"/>
      <c r="F131" s="20" t="inlineStr">
        <is>
          <t>Observatorios de igualdad y violencia de género</t>
        </is>
      </c>
    </row>
    <row r="132">
      <c r="A132" s="20" t="n">
        <v>13</v>
      </c>
      <c r="B132" s="20" t="inlineStr">
        <is>
          <t>Observatorio Estatal de Violencia sobre la Mujer</t>
        </is>
      </c>
      <c r="C132" s="20" t="inlineStr">
        <is>
          <t>Organismos del mismo tema (Estado + CCAA, verificados)</t>
        </is>
      </c>
      <c r="D132" s="20" t="inlineStr">
        <is>
          <t>CF</t>
        </is>
      </c>
      <c r="E132" s="20" t="n"/>
      <c r="F132" s="20" t="n">
        <v>11</v>
      </c>
    </row>
    <row r="133">
      <c r="A133" s="20" t="n">
        <v>13</v>
      </c>
      <c r="B133" s="20" t="inlineStr">
        <is>
          <t>Observatorio Estatal de Violencia sobre la Mujer</t>
        </is>
      </c>
      <c r="C133" s="20" t="inlineStr">
        <is>
          <t>Coste de apoyo (sin presupuesto propio): unidad, vocales y dietas</t>
        </is>
      </c>
      <c r="D133" s="20" t="inlineStr">
        <is>
          <t>CG</t>
        </is>
      </c>
      <c r="E133" s="20" t="n"/>
      <c r="F133" s="20" t="inlineStr">
        <is>
          <t>Apoyo: Secretaría: titular de la SG de Sensibilización, Prevención y Estudios de la Violencia contra las Mujeres, en la DGVG (art. 4.4 RD 752/2022); gastos personales y materiales con cargo al ministerio del que depende la DGVG (DA única). Esa SG elabora el informe anual. vocales: 45. gasto con nombre propio: Becas de formación en el Observatorio: 6 becas en 2022-2023, de 1.050 EUR brutos/mes más 600 EUR/año cada una (extracto BOE 22/03/2022) (https://violenciagenero.igualdad.gob.es/wp-content/uploads/DGVGInforma_becas.pdf) | Borrador de bases de 2026: entre 14.400 y 22.200 EUR brutos anuales por beca, sin número fijado (https://www.igualdad.gob.es/wp-content/uploads/2026/06/Orden-de-Bases-becas_BORRADOR.pdf).</t>
        </is>
      </c>
    </row>
    <row r="134">
      <c r="A134" s="20" t="n">
        <v>14</v>
      </c>
      <c r="B134" s="20" t="inlineStr">
        <is>
          <t>Delegación Especial del Gobierno contra la Violencia sobre la Mujer, hoy Delegación del Gobierno contra la Violencia de Género</t>
        </is>
      </c>
      <c r="C134" s="20" t="inlineStr">
        <is>
          <t>Clasificación: útil / no útil</t>
        </is>
      </c>
      <c r="D134" s="20" t="inlineStr">
        <is>
          <t>BV</t>
        </is>
      </c>
      <c r="E134" s="20" t="n"/>
      <c r="F134" s="20" t="inlineStr">
        <is>
          <t>Sin decisión en el P100</t>
        </is>
      </c>
    </row>
    <row r="135">
      <c r="A135" s="20" t="n">
        <v>14</v>
      </c>
      <c r="B135" s="20" t="inlineStr">
        <is>
          <t>Delegación Especial del Gobierno contra la Violencia sobre la Mujer, hoy Delegación del Gobierno contra la Violencia de Género</t>
        </is>
      </c>
      <c r="C135" s="20" t="inlineStr">
        <is>
          <t>Clasificación: veredicto</t>
        </is>
      </c>
      <c r="D135" s="20" t="inlineStr">
        <is>
          <t>BW</t>
        </is>
      </c>
      <c r="E135" s="20" t="n"/>
      <c r="F135" s="20" t="inlineStr">
        <is>
          <t>Pendiente de decisión</t>
        </is>
      </c>
    </row>
    <row r="136">
      <c r="A136" s="20" t="n">
        <v>14</v>
      </c>
      <c r="B136" s="20" t="inlineStr">
        <is>
          <t>Delegación Especial del Gobierno contra la Violencia sobre la Mujer, hoy Delegación del Gobierno contra la Violencia de Género</t>
        </is>
      </c>
      <c r="C136" s="20" t="inlineStr">
        <is>
          <t>Clasificación: función</t>
        </is>
      </c>
      <c r="D136" s="20" t="inlineStr">
        <is>
          <t>BX</t>
        </is>
      </c>
      <c r="E136" s="20" t="n"/>
      <c r="F136" s="20" t="inlineStr">
        <is>
          <t>Servicio público directo</t>
        </is>
      </c>
    </row>
    <row r="137">
      <c r="A137" s="20" t="n">
        <v>14</v>
      </c>
      <c r="B137" s="20" t="inlineStr">
        <is>
          <t>Delegación Especial del Gobierno contra la Violencia sobre la Mujer, hoy Delegación del Gobierno contra la Violencia de Género</t>
        </is>
      </c>
      <c r="C137" s="20" t="inlineStr">
        <is>
          <t>Clasificación: exigida por la UE</t>
        </is>
      </c>
      <c r="D137" s="20" t="inlineStr">
        <is>
          <t>BZ</t>
        </is>
      </c>
      <c r="E137" s="20" t="n"/>
      <c r="F137" s="20" t="inlineStr">
        <is>
          <t>No</t>
        </is>
      </c>
    </row>
    <row r="138">
      <c r="A138" s="20" t="n">
        <v>14</v>
      </c>
      <c r="B138" s="20" t="inlineStr">
        <is>
          <t>Delegación Especial del Gobierno contra la Violencia sobre la Mujer, hoy Delegación del Gobierno contra la Violencia de Género</t>
        </is>
      </c>
      <c r="C138" s="20" t="inlineStr">
        <is>
          <t>Clasificación: actividad reciente</t>
        </is>
      </c>
      <c r="D138" s="20" t="inlineStr">
        <is>
          <t>CA</t>
        </is>
      </c>
      <c r="E138" s="20" t="n"/>
      <c r="F138" s="20" t="inlineStr">
        <is>
          <t>Acreditada</t>
        </is>
      </c>
    </row>
    <row r="139">
      <c r="A139" s="20" t="n">
        <v>14</v>
      </c>
      <c r="B139" s="20" t="inlineStr">
        <is>
          <t>Delegación Especial del Gobierno contra la Violencia sobre la Mujer, hoy Delegación del Gobierno contra la Violencia de Género</t>
        </is>
      </c>
      <c r="C139" s="20" t="inlineStr">
        <is>
          <t>Clasificación: motivo</t>
        </is>
      </c>
      <c r="D139" s="20" t="inlineStr">
        <is>
          <t>CB</t>
        </is>
      </c>
      <c r="E139" s="20" t="n"/>
      <c r="F139" s="20" t="inlineStr">
        <is>
          <t>Dirección general del Ministerio de Igualdad (no es un organismo): coordina la política contra la violencia de género y gestiona 79,5 M.</t>
        </is>
      </c>
    </row>
    <row r="140">
      <c r="A140" s="20" t="n">
        <v>14</v>
      </c>
      <c r="B140" s="20" t="inlineStr">
        <is>
          <t>Delegación Especial del Gobierno contra la Violencia sobre la Mujer, hoy Delegación del Gobierno contra la Violencia de Género</t>
        </is>
      </c>
      <c r="C140" s="20" t="inlineStr">
        <is>
          <t>Clasificación: base en el P100</t>
        </is>
      </c>
      <c r="D140" s="20" t="inlineStr">
        <is>
          <t>CC</t>
        </is>
      </c>
      <c r="E140" s="20" t="n"/>
      <c r="F140" s="20" t="inlineStr">
        <is>
          <t>El P100 no trata la violencia de género ni el futuro del Ministerio de Igualdad</t>
        </is>
      </c>
    </row>
    <row r="141">
      <c r="A141" s="20" t="n">
        <v>14</v>
      </c>
      <c r="B141" s="20" t="inlineStr">
        <is>
          <t>Delegación Especial del Gobierno contra la Violencia sobre la Mujer, hoy Delegación del Gobierno contra la Violencia de Género</t>
        </is>
      </c>
      <c r="C141" s="20" t="inlineStr">
        <is>
          <t>Tema funcional</t>
        </is>
      </c>
      <c r="D141" s="20" t="inlineStr">
        <is>
          <t>CE</t>
        </is>
      </c>
      <c r="E141" s="20" t="n"/>
      <c r="F141" s="20" t="inlineStr">
        <is>
          <t>Violencia de género (política estatal)</t>
        </is>
      </c>
    </row>
    <row r="142">
      <c r="A142" s="20" t="n">
        <v>15</v>
      </c>
      <c r="B142" s="20" t="inlineStr">
        <is>
          <t>Consejo Estatal de Familias y Observatorio Estatal de Familias</t>
        </is>
      </c>
      <c r="C142" s="20" t="inlineStr">
        <is>
          <t>Fuentes de la ficha</t>
        </is>
      </c>
      <c r="D142" s="20" t="inlineStr">
        <is>
          <t>Z</t>
        </is>
      </c>
      <c r="E142" s="20" t="inlineStr">
        <is>
          <t>https://www.boe.es/boe/dias/2007/05/12/pdfs/A20598-20600.pdf</t>
        </is>
      </c>
      <c r="F142" s="20" t="inlineStr">
        <is>
          <t>https://www.boe.es/boe/dias/2007/05/12/pdfs/A20598-20600.pdf
https://www.boe.es/eli/es/rd/2007/05/11/613</t>
        </is>
      </c>
    </row>
    <row r="143">
      <c r="A143" s="20" t="n">
        <v>15</v>
      </c>
      <c r="B143" s="20" t="inlineStr">
        <is>
          <t>Consejo Estatal de Familias y Observatorio Estatal de Familias</t>
        </is>
      </c>
      <c r="C143" s="20" t="inlineStr">
        <is>
          <t>Clasificación: útil / no útil</t>
        </is>
      </c>
      <c r="D143" s="20" t="inlineStr">
        <is>
          <t>BV</t>
        </is>
      </c>
      <c r="E143" s="20" t="n"/>
      <c r="F143" s="20" t="inlineStr">
        <is>
          <t>No útil</t>
        </is>
      </c>
    </row>
    <row r="144">
      <c r="A144" s="20" t="n">
        <v>15</v>
      </c>
      <c r="B144" s="20" t="inlineStr">
        <is>
          <t>Consejo Estatal de Familias y Observatorio Estatal de Familias</t>
        </is>
      </c>
      <c r="C144" s="20" t="inlineStr">
        <is>
          <t>Clasificación: veredicto</t>
        </is>
      </c>
      <c r="D144" s="20" t="inlineStr">
        <is>
          <t>BW</t>
        </is>
      </c>
      <c r="E144" s="20" t="n"/>
      <c r="F144" s="20" t="inlineStr">
        <is>
          <t>Suprimir</t>
        </is>
      </c>
    </row>
    <row r="145">
      <c r="A145" s="20" t="n">
        <v>15</v>
      </c>
      <c r="B145" s="20" t="inlineStr">
        <is>
          <t>Consejo Estatal de Familias y Observatorio Estatal de Familias</t>
        </is>
      </c>
      <c r="C145" s="20" t="inlineStr">
        <is>
          <t>Clasificación: función</t>
        </is>
      </c>
      <c r="D145" s="20" t="inlineStr">
        <is>
          <t>BX</t>
        </is>
      </c>
      <c r="E145" s="20" t="n"/>
      <c r="F145" s="20" t="inlineStr">
        <is>
          <t>Consultivo o participación</t>
        </is>
      </c>
    </row>
    <row r="146">
      <c r="A146" s="20" t="n">
        <v>15</v>
      </c>
      <c r="B146" s="20" t="inlineStr">
        <is>
          <t>Consejo Estatal de Familias y Observatorio Estatal de Familias</t>
        </is>
      </c>
      <c r="C146" s="20" t="inlineStr">
        <is>
          <t>Clasificación: exigida por la UE</t>
        </is>
      </c>
      <c r="D146" s="20" t="inlineStr">
        <is>
          <t>BZ</t>
        </is>
      </c>
      <c r="E146" s="20" t="n"/>
      <c r="F146" s="20" t="inlineStr">
        <is>
          <t>No</t>
        </is>
      </c>
    </row>
    <row r="147">
      <c r="A147" s="20" t="n">
        <v>15</v>
      </c>
      <c r="B147" s="20" t="inlineStr">
        <is>
          <t>Consejo Estatal de Familias y Observatorio Estatal de Familias</t>
        </is>
      </c>
      <c r="C147" s="20" t="inlineStr">
        <is>
          <t>Clasificación: actividad reciente</t>
        </is>
      </c>
      <c r="D147" s="20" t="inlineStr">
        <is>
          <t>CA</t>
        </is>
      </c>
      <c r="E147" s="20" t="n"/>
      <c r="F147" s="20" t="inlineStr">
        <is>
          <t>No acreditada</t>
        </is>
      </c>
    </row>
    <row r="148">
      <c r="A148" s="20" t="n">
        <v>15</v>
      </c>
      <c r="B148" s="20" t="inlineStr">
        <is>
          <t>Consejo Estatal de Familias y Observatorio Estatal de Familias</t>
        </is>
      </c>
      <c r="C148" s="20" t="inlineStr">
        <is>
          <t>Clasificación: motivo</t>
        </is>
      </c>
      <c r="D148" s="20" t="inlineStr">
        <is>
          <t>CB</t>
        </is>
      </c>
      <c r="E148" s="20" t="n"/>
      <c r="F148" s="20" t="inlineStr">
        <is>
          <t>Observatorio, consejo o comisión: el P100 los cierra salvo que su ministerio demuestre que su trabajo cambia decisiones o mejora un servicio; publicar informes no cuenta.</t>
        </is>
      </c>
    </row>
    <row r="149">
      <c r="A149" s="20" t="n">
        <v>15</v>
      </c>
      <c r="B149" s="20" t="inlineStr">
        <is>
          <t>Consejo Estatal de Familias y Observatorio Estatal de Familias</t>
        </is>
      </c>
      <c r="C149" s="20" t="inlineStr">
        <is>
          <t>Clasificación: base en el P100</t>
        </is>
      </c>
      <c r="D149" s="20" t="inlineStr">
        <is>
          <t>CC</t>
        </is>
      </c>
      <c r="E149" s="20" t="n"/>
      <c r="F149" s="20" t="inlineStr">
        <is>
          <t>Explícito en el P100: Costes del Estado 2</t>
        </is>
      </c>
    </row>
    <row r="150">
      <c r="A150" s="20" t="n">
        <v>15</v>
      </c>
      <c r="B150" s="20" t="inlineStr">
        <is>
          <t>Consejo Estatal de Familias y Observatorio Estatal de Familias</t>
        </is>
      </c>
      <c r="C150" s="20" t="inlineStr">
        <is>
          <t>Clasificación: destino de sus funciones</t>
        </is>
      </c>
      <c r="D150" s="20" t="inlineStr">
        <is>
          <t>CD</t>
        </is>
      </c>
      <c r="E150" s="20" t="n"/>
      <c r="F150" s="20" t="inlineStr">
        <is>
          <t>Estructura ordinaria del ministerio, si alguna función resultara imprescindible</t>
        </is>
      </c>
    </row>
    <row r="151">
      <c r="A151" s="20" t="n">
        <v>15</v>
      </c>
      <c r="B151" s="20" t="inlineStr">
        <is>
          <t>Consejo Estatal de Familias y Observatorio Estatal de Familias</t>
        </is>
      </c>
      <c r="C151" s="20" t="inlineStr">
        <is>
          <t>Tema funcional</t>
        </is>
      </c>
      <c r="D151" s="20" t="inlineStr">
        <is>
          <t>CE</t>
        </is>
      </c>
      <c r="E151" s="20" t="n"/>
      <c r="F151" s="20" t="inlineStr">
        <is>
          <t>Familias</t>
        </is>
      </c>
    </row>
    <row r="152">
      <c r="A152" s="20" t="n">
        <v>15</v>
      </c>
      <c r="B152" s="20" t="inlineStr">
        <is>
          <t>Consejo Estatal de Familias y Observatorio Estatal de Familias</t>
        </is>
      </c>
      <c r="C152" s="20" t="inlineStr">
        <is>
          <t>Coste de apoyo (sin presupuesto propio): unidad, vocales y dietas</t>
        </is>
      </c>
      <c r="D152" s="20" t="inlineStr">
        <is>
          <t>CG</t>
        </is>
      </c>
      <c r="E152" s="20" t="n"/>
      <c r="F152" s="20" t="inlineStr">
        <is>
          <t>Apoyo: Secretario del Consejo y del Observatorio: un funcionario del ministerio designado por la SE competente en familias (arts. 7.1 y 11); medios personales y materiales del ministerio (DA única RD 613/2007). vocales: 36.</t>
        </is>
      </c>
    </row>
    <row r="153">
      <c r="A153" s="20" t="n">
        <v>16</v>
      </c>
      <c r="B153" s="20" t="inlineStr">
        <is>
          <t>Observatorio Estatal de la Discapacidad</t>
        </is>
      </c>
      <c r="C153" s="20" t="inlineStr">
        <is>
          <t>Fuentes de la ficha</t>
        </is>
      </c>
      <c r="D153" s="20" t="inlineStr">
        <is>
          <t>Z</t>
        </is>
      </c>
      <c r="E153" s="20" t="inlineStr">
        <is>
          <t>https://www.boe.es/diario_boe/txt.php?id=BOE-A-2006-22673
https://observatoriodeladiscapacidad.info/olivenza/2025/informe</t>
        </is>
      </c>
      <c r="F153" s="20" t="inlineStr">
        <is>
          <t>https://www.boe.es/diario_boe/txt.php?id=BOE-A-2006-22673
https://observatoriodeladiscapacidad.info/olivenza/2025/informe
https://www.boe.es/diario_boe/txt.php?id=BOE-A-2025-20078</t>
        </is>
      </c>
    </row>
    <row r="154">
      <c r="A154" s="20" t="n">
        <v>16</v>
      </c>
      <c r="B154" s="20" t="inlineStr">
        <is>
          <t>Observatorio Estatal de la Discapacidad</t>
        </is>
      </c>
      <c r="C154" s="20" t="inlineStr">
        <is>
          <t>Clasificación: útil / no útil</t>
        </is>
      </c>
      <c r="D154" s="20" t="inlineStr">
        <is>
          <t>BV</t>
        </is>
      </c>
      <c r="E154" s="20" t="n"/>
      <c r="F154" s="20" t="inlineStr">
        <is>
          <t>No útil</t>
        </is>
      </c>
    </row>
    <row r="155">
      <c r="A155" s="20" t="n">
        <v>16</v>
      </c>
      <c r="B155" s="20" t="inlineStr">
        <is>
          <t>Observatorio Estatal de la Discapacidad</t>
        </is>
      </c>
      <c r="C155" s="20" t="inlineStr">
        <is>
          <t>Clasificación: veredicto</t>
        </is>
      </c>
      <c r="D155" s="20" t="inlineStr">
        <is>
          <t>BW</t>
        </is>
      </c>
      <c r="E155" s="20" t="n"/>
      <c r="F155" s="20" t="inlineStr">
        <is>
          <t>Suprimir</t>
        </is>
      </c>
    </row>
    <row r="156">
      <c r="A156" s="20" t="n">
        <v>16</v>
      </c>
      <c r="B156" s="20" t="inlineStr">
        <is>
          <t>Observatorio Estatal de la Discapacidad</t>
        </is>
      </c>
      <c r="C156" s="20" t="inlineStr">
        <is>
          <t>Clasificación: función</t>
        </is>
      </c>
      <c r="D156" s="20" t="inlineStr">
        <is>
          <t>BX</t>
        </is>
      </c>
      <c r="E156" s="20" t="n"/>
      <c r="F156" s="20" t="inlineStr">
        <is>
          <t>Consultivo o participación</t>
        </is>
      </c>
    </row>
    <row r="157">
      <c r="A157" s="20" t="n">
        <v>16</v>
      </c>
      <c r="B157" s="20" t="inlineStr">
        <is>
          <t>Observatorio Estatal de la Discapacidad</t>
        </is>
      </c>
      <c r="C157" s="20" t="inlineStr">
        <is>
          <t>Clasificación: exigida por la UE</t>
        </is>
      </c>
      <c r="D157" s="20" t="inlineStr">
        <is>
          <t>BZ</t>
        </is>
      </c>
      <c r="E157" s="20" t="n"/>
      <c r="F157" s="20" t="inlineStr">
        <is>
          <t>No</t>
        </is>
      </c>
    </row>
    <row r="158">
      <c r="A158" s="20" t="n">
        <v>16</v>
      </c>
      <c r="B158" s="20" t="inlineStr">
        <is>
          <t>Observatorio Estatal de la Discapacidad</t>
        </is>
      </c>
      <c r="C158" s="20" t="inlineStr">
        <is>
          <t>Clasificación: actividad reciente</t>
        </is>
      </c>
      <c r="D158" s="20" t="inlineStr">
        <is>
          <t>CA</t>
        </is>
      </c>
      <c r="E158" s="20" t="n"/>
      <c r="F158" s="20" t="inlineStr">
        <is>
          <t>Acreditada</t>
        </is>
      </c>
    </row>
    <row r="159">
      <c r="A159" s="20" t="n">
        <v>16</v>
      </c>
      <c r="B159" s="20" t="inlineStr">
        <is>
          <t>Observatorio Estatal de la Discapacidad</t>
        </is>
      </c>
      <c r="C159" s="20" t="inlineStr">
        <is>
          <t>Clasificación: motivo</t>
        </is>
      </c>
      <c r="D159" s="20" t="inlineStr">
        <is>
          <t>CB</t>
        </is>
      </c>
      <c r="E159" s="20" t="n"/>
      <c r="F159" s="20" t="inlineStr">
        <is>
          <t>Observatorio, consejo o comisión: el P100 los cierra salvo que su ministerio demuestre que su trabajo cambia decisiones o mejora un servicio; publicar informes no cuenta.</t>
        </is>
      </c>
    </row>
    <row r="160">
      <c r="A160" s="20" t="n">
        <v>16</v>
      </c>
      <c r="B160" s="20" t="inlineStr">
        <is>
          <t>Observatorio Estatal de la Discapacidad</t>
        </is>
      </c>
      <c r="C160" s="20" t="inlineStr">
        <is>
          <t>Clasificación: base en el P100</t>
        </is>
      </c>
      <c r="D160" s="20" t="inlineStr">
        <is>
          <t>CC</t>
        </is>
      </c>
      <c r="E160" s="20" t="n"/>
      <c r="F160" s="20" t="inlineStr">
        <is>
          <t>Explícito en el P100: Costes del Estado 2</t>
        </is>
      </c>
    </row>
    <row r="161">
      <c r="A161" s="20" t="n">
        <v>16</v>
      </c>
      <c r="B161" s="20" t="inlineStr">
        <is>
          <t>Observatorio Estatal de la Discapacidad</t>
        </is>
      </c>
      <c r="C161" s="20" t="inlineStr">
        <is>
          <t>Clasificación: destino de sus funciones</t>
        </is>
      </c>
      <c r="D161" s="20" t="inlineStr">
        <is>
          <t>CD</t>
        </is>
      </c>
      <c r="E161" s="20" t="n"/>
      <c r="F161" s="20" t="inlineStr">
        <is>
          <t>Estructura ordinaria del ministerio, si alguna función resultara imprescindible</t>
        </is>
      </c>
    </row>
    <row r="162">
      <c r="A162" s="20" t="n">
        <v>16</v>
      </c>
      <c r="B162" s="20" t="inlineStr">
        <is>
          <t>Observatorio Estatal de la Discapacidad</t>
        </is>
      </c>
      <c r="C162" s="20" t="inlineStr">
        <is>
          <t>Tema funcional</t>
        </is>
      </c>
      <c r="D162" s="20" t="inlineStr">
        <is>
          <t>CE</t>
        </is>
      </c>
      <c r="E162" s="20" t="n"/>
      <c r="F162" s="20" t="inlineStr">
        <is>
          <t>Discapacidad</t>
        </is>
      </c>
    </row>
    <row r="163">
      <c r="A163" s="20" t="n">
        <v>16</v>
      </c>
      <c r="B163" s="20" t="inlineStr">
        <is>
          <t>Observatorio Estatal de la Discapacidad</t>
        </is>
      </c>
      <c r="C163" s="20" t="inlineStr">
        <is>
          <t>Coste de apoyo (sin presupuesto propio): unidad, vocales y dietas</t>
        </is>
      </c>
      <c r="D163" s="20" t="inlineStr">
        <is>
          <t>CG</t>
        </is>
      </c>
      <c r="E163" s="20" t="n"/>
      <c r="F163" s="20" t="inlineStr">
        <is>
          <t>Apoyo: Dirección pública: DG competente en discapacidad (art. 73.1 RDLeg 1/2013). La gestión técnica la presta el CERMI con la subvención, con personal propio que no es empleo público. gasto con nombre propio: 100.000 EUR: subvención directa al CERMI «para el Observatorio Estatal de la Discapacidad» (RD 904/2025, art. 3.3.e), ejecutable en 2025-2026 (https://www.boe.es/diario_boe/txt.php?id=BOE-A-2025-20078) | 2023: 80.000 EUR de subvención nominativa (aplicación 29.102.231F.485), de los que 15.000 EUR eran para «Secretaría técnica» según el anexo 2 del convenio RPD-CERMI (https://www.boe.es/diario_boe/txt.php?id=BOE-A-2023-11877).</t>
        </is>
      </c>
    </row>
    <row r="164">
      <c r="A164" s="20" t="n">
        <v>17</v>
      </c>
      <c r="B164" s="20" t="inlineStr">
        <is>
          <t>Observatorio de la Lectura y el Libro</t>
        </is>
      </c>
      <c r="C164" s="20" t="inlineStr">
        <is>
          <t>Clasificación: útil / no útil</t>
        </is>
      </c>
      <c r="D164" s="20" t="inlineStr">
        <is>
          <t>BV</t>
        </is>
      </c>
      <c r="E164" s="20" t="n"/>
      <c r="F164" s="20" t="inlineStr">
        <is>
          <t>No útil</t>
        </is>
      </c>
    </row>
    <row r="165">
      <c r="A165" s="20" t="n">
        <v>17</v>
      </c>
      <c r="B165" s="20" t="inlineStr">
        <is>
          <t>Observatorio de la Lectura y el Libro</t>
        </is>
      </c>
      <c r="C165" s="20" t="inlineStr">
        <is>
          <t>Clasificación: veredicto</t>
        </is>
      </c>
      <c r="D165" s="20" t="inlineStr">
        <is>
          <t>BW</t>
        </is>
      </c>
      <c r="E165" s="20" t="n"/>
      <c r="F165" s="20" t="inlineStr">
        <is>
          <t>Suprimir</t>
        </is>
      </c>
    </row>
    <row r="166">
      <c r="A166" s="20" t="n">
        <v>17</v>
      </c>
      <c r="B166" s="20" t="inlineStr">
        <is>
          <t>Observatorio de la Lectura y el Libro</t>
        </is>
      </c>
      <c r="C166" s="20" t="inlineStr">
        <is>
          <t>Clasificación: función</t>
        </is>
      </c>
      <c r="D166" s="20" t="inlineStr">
        <is>
          <t>BX</t>
        </is>
      </c>
      <c r="E166" s="20" t="n"/>
      <c r="F166" s="20" t="inlineStr">
        <is>
          <t>Consultivo o participación</t>
        </is>
      </c>
    </row>
    <row r="167">
      <c r="A167" s="20" t="n">
        <v>17</v>
      </c>
      <c r="B167" s="20" t="inlineStr">
        <is>
          <t>Observatorio de la Lectura y el Libro</t>
        </is>
      </c>
      <c r="C167" s="20" t="inlineStr">
        <is>
          <t>Clasificación: exigida por la UE</t>
        </is>
      </c>
      <c r="D167" s="20" t="inlineStr">
        <is>
          <t>BZ</t>
        </is>
      </c>
      <c r="E167" s="20" t="n"/>
      <c r="F167" s="20" t="inlineStr">
        <is>
          <t>No</t>
        </is>
      </c>
    </row>
    <row r="168">
      <c r="A168" s="20" t="n">
        <v>17</v>
      </c>
      <c r="B168" s="20" t="inlineStr">
        <is>
          <t>Observatorio de la Lectura y el Libro</t>
        </is>
      </c>
      <c r="C168" s="20" t="inlineStr">
        <is>
          <t>Clasificación: actividad reciente</t>
        </is>
      </c>
      <c r="D168" s="20" t="inlineStr">
        <is>
          <t>CA</t>
        </is>
      </c>
      <c r="E168" s="20" t="n"/>
      <c r="F168" s="20" t="inlineStr">
        <is>
          <t>No acreditada</t>
        </is>
      </c>
    </row>
    <row r="169">
      <c r="A169" s="20" t="n">
        <v>17</v>
      </c>
      <c r="B169" s="20" t="inlineStr">
        <is>
          <t>Observatorio de la Lectura y el Libro</t>
        </is>
      </c>
      <c r="C169" s="20" t="inlineStr">
        <is>
          <t>Clasificación: motivo</t>
        </is>
      </c>
      <c r="D169" s="20" t="inlineStr">
        <is>
          <t>CB</t>
        </is>
      </c>
      <c r="E169" s="20" t="n"/>
      <c r="F169" s="20" t="inlineStr">
        <is>
          <t>Observatorio, consejo o comisión: el P100 los cierra salvo que su ministerio demuestre que su trabajo cambia decisiones o mejora un servicio; publicar informes no cuenta.</t>
        </is>
      </c>
    </row>
    <row r="170">
      <c r="A170" s="20" t="n">
        <v>17</v>
      </c>
      <c r="B170" s="20" t="inlineStr">
        <is>
          <t>Observatorio de la Lectura y el Libro</t>
        </is>
      </c>
      <c r="C170" s="20" t="inlineStr">
        <is>
          <t>Clasificación: base en el P100</t>
        </is>
      </c>
      <c r="D170" s="20" t="inlineStr">
        <is>
          <t>CC</t>
        </is>
      </c>
      <c r="E170" s="20" t="n"/>
      <c r="F170" s="20" t="inlineStr">
        <is>
          <t>Explícito en el P100: Costes del Estado 2</t>
        </is>
      </c>
    </row>
    <row r="171">
      <c r="A171" s="20" t="n">
        <v>17</v>
      </c>
      <c r="B171" s="20" t="inlineStr">
        <is>
          <t>Observatorio de la Lectura y el Libro</t>
        </is>
      </c>
      <c r="C171" s="20" t="inlineStr">
        <is>
          <t>Clasificación: destino de sus funciones</t>
        </is>
      </c>
      <c r="D171" s="20" t="inlineStr">
        <is>
          <t>CD</t>
        </is>
      </c>
      <c r="E171" s="20" t="n"/>
      <c r="F171" s="20" t="inlineStr">
        <is>
          <t>Estructura ordinaria del ministerio, si alguna función resultara imprescindible</t>
        </is>
      </c>
    </row>
    <row r="172">
      <c r="A172" s="20" t="n">
        <v>17</v>
      </c>
      <c r="B172" s="20" t="inlineStr">
        <is>
          <t>Observatorio de la Lectura y el Libro</t>
        </is>
      </c>
      <c r="C172" s="20" t="inlineStr">
        <is>
          <t>Tema funcional</t>
        </is>
      </c>
      <c r="D172" s="20" t="inlineStr">
        <is>
          <t>CE</t>
        </is>
      </c>
      <c r="E172" s="20" t="n"/>
      <c r="F172" s="20" t="inlineStr">
        <is>
          <t>Libro y lectura</t>
        </is>
      </c>
    </row>
    <row r="173">
      <c r="A173" s="20" t="n">
        <v>17</v>
      </c>
      <c r="B173" s="20" t="inlineStr">
        <is>
          <t>Observatorio de la Lectura y el Libro</t>
        </is>
      </c>
      <c r="C173" s="20" t="inlineStr">
        <is>
          <t>Coste de apoyo (sin presupuesto propio): unidad, vocales y dietas</t>
        </is>
      </c>
      <c r="D173" s="20" t="inlineStr">
        <is>
          <t>CG</t>
        </is>
      </c>
      <c r="E173" s="20" t="n"/>
      <c r="F173" s="20" t="inlineStr">
        <is>
          <t>Apoyo: Secretaría del Pleno y del Comité Técnico: un funcionario de la DG competente en libro (art. 5.2 y art. 6.f RD 1574/2007); dotación de personal mediante modificación de la RPT del Ministerio de Cultura (DA 2.ª). vocales: 32.</t>
        </is>
      </c>
    </row>
    <row r="174">
      <c r="A174" s="20" t="n">
        <v>18</v>
      </c>
      <c r="B174" s="20" t="inlineStr">
        <is>
          <t>Observatorio de la Nutrición y de Estudio de la Obesidad</t>
        </is>
      </c>
      <c r="C174" s="20" t="inlineStr">
        <is>
          <t>Fuentes de la ficha</t>
        </is>
      </c>
      <c r="D174" s="20" t="inlineStr">
        <is>
          <t>Z</t>
        </is>
      </c>
      <c r="E174" s="20" t="inlineStr">
        <is>
          <t>https://www.boe.es/diario_boe/txt.php?id=BOE-A-2013-2074
https://www.aesan.gob.es/nutricion/datos-sobrepeso-obesidad</t>
        </is>
      </c>
      <c r="F174" s="20" t="inlineStr">
        <is>
          <t>https://www.boe.es/diario_boe/txt.php?id=BOE-A-2013-2074
https://www.aesan.gob.es/nutricion/datos-sobrepeso-obesidad
https://boe.es/boe/dias/2013/02/23/pdfs/BOE-A-2013-2074.pdf</t>
        </is>
      </c>
    </row>
    <row r="175">
      <c r="A175" s="20" t="n">
        <v>18</v>
      </c>
      <c r="B175" s="20" t="inlineStr">
        <is>
          <t>Observatorio de la Nutrición y de Estudio de la Obesidad</t>
        </is>
      </c>
      <c r="C175" s="20" t="inlineStr">
        <is>
          <t>Clasificación: útil / no útil</t>
        </is>
      </c>
      <c r="D175" s="20" t="inlineStr">
        <is>
          <t>BV</t>
        </is>
      </c>
      <c r="E175" s="20" t="n"/>
      <c r="F175" s="20" t="inlineStr">
        <is>
          <t>No útil</t>
        </is>
      </c>
    </row>
    <row r="176">
      <c r="A176" s="20" t="n">
        <v>18</v>
      </c>
      <c r="B176" s="20" t="inlineStr">
        <is>
          <t>Observatorio de la Nutrición y de Estudio de la Obesidad</t>
        </is>
      </c>
      <c r="C176" s="20" t="inlineStr">
        <is>
          <t>Clasificación: veredicto</t>
        </is>
      </c>
      <c r="D176" s="20" t="inlineStr">
        <is>
          <t>BW</t>
        </is>
      </c>
      <c r="E176" s="20" t="n"/>
      <c r="F176" s="20" t="inlineStr">
        <is>
          <t>Suprimir</t>
        </is>
      </c>
    </row>
    <row r="177">
      <c r="A177" s="20" t="n">
        <v>18</v>
      </c>
      <c r="B177" s="20" t="inlineStr">
        <is>
          <t>Observatorio de la Nutrición y de Estudio de la Obesidad</t>
        </is>
      </c>
      <c r="C177" s="20" t="inlineStr">
        <is>
          <t>Clasificación: función</t>
        </is>
      </c>
      <c r="D177" s="20" t="inlineStr">
        <is>
          <t>BX</t>
        </is>
      </c>
      <c r="E177" s="20" t="n"/>
      <c r="F177" s="20" t="inlineStr">
        <is>
          <t>Consultivo o participación</t>
        </is>
      </c>
    </row>
    <row r="178">
      <c r="A178" s="20" t="n">
        <v>18</v>
      </c>
      <c r="B178" s="20" t="inlineStr">
        <is>
          <t>Observatorio de la Nutrición y de Estudio de la Obesidad</t>
        </is>
      </c>
      <c r="C178" s="20" t="inlineStr">
        <is>
          <t>Clasificación: exigida por la UE</t>
        </is>
      </c>
      <c r="D178" s="20" t="inlineStr">
        <is>
          <t>BZ</t>
        </is>
      </c>
      <c r="E178" s="20" t="n"/>
      <c r="F178" s="20" t="inlineStr">
        <is>
          <t>No</t>
        </is>
      </c>
    </row>
    <row r="179">
      <c r="A179" s="20" t="n">
        <v>18</v>
      </c>
      <c r="B179" s="20" t="inlineStr">
        <is>
          <t>Observatorio de la Nutrición y de Estudio de la Obesidad</t>
        </is>
      </c>
      <c r="C179" s="20" t="inlineStr">
        <is>
          <t>Clasificación: actividad reciente</t>
        </is>
      </c>
      <c r="D179" s="20" t="inlineStr">
        <is>
          <t>CA</t>
        </is>
      </c>
      <c r="E179" s="20" t="n"/>
      <c r="F179" s="20" t="inlineStr">
        <is>
          <t>Acreditada</t>
        </is>
      </c>
    </row>
    <row r="180">
      <c r="A180" s="20" t="n">
        <v>18</v>
      </c>
      <c r="B180" s="20" t="inlineStr">
        <is>
          <t>Observatorio de la Nutrición y de Estudio de la Obesidad</t>
        </is>
      </c>
      <c r="C180" s="20" t="inlineStr">
        <is>
          <t>Clasificación: motivo</t>
        </is>
      </c>
      <c r="D180" s="20" t="inlineStr">
        <is>
          <t>CB</t>
        </is>
      </c>
      <c r="E180" s="20" t="n"/>
      <c r="F180" s="20" t="inlineStr">
        <is>
          <t>Observatorio, consejo o comisión: el P100 los cierra salvo que su ministerio demuestre que su trabajo cambia decisiones o mejora un servicio; publicar informes no cuenta.</t>
        </is>
      </c>
    </row>
    <row r="181">
      <c r="A181" s="20" t="n">
        <v>18</v>
      </c>
      <c r="B181" s="20" t="inlineStr">
        <is>
          <t>Observatorio de la Nutrición y de Estudio de la Obesidad</t>
        </is>
      </c>
      <c r="C181" s="20" t="inlineStr">
        <is>
          <t>Clasificación: base en el P100</t>
        </is>
      </c>
      <c r="D181" s="20" t="inlineStr">
        <is>
          <t>CC</t>
        </is>
      </c>
      <c r="E181" s="20" t="n"/>
      <c r="F181" s="20" t="inlineStr">
        <is>
          <t>Explícito en el P100: Costes del Estado 2</t>
        </is>
      </c>
    </row>
    <row r="182">
      <c r="A182" s="20" t="n">
        <v>18</v>
      </c>
      <c r="B182" s="20" t="inlineStr">
        <is>
          <t>Observatorio de la Nutrición y de Estudio de la Obesidad</t>
        </is>
      </c>
      <c r="C182" s="20" t="inlineStr">
        <is>
          <t>Clasificación: destino de sus funciones</t>
        </is>
      </c>
      <c r="D182" s="20" t="inlineStr">
        <is>
          <t>CD</t>
        </is>
      </c>
      <c r="E182" s="20" t="n"/>
      <c r="F182" s="20" t="inlineStr">
        <is>
          <t>Estructura ordinaria del ministerio, si alguna función resultara imprescindible</t>
        </is>
      </c>
    </row>
    <row r="183">
      <c r="A183" s="20" t="n">
        <v>18</v>
      </c>
      <c r="B183" s="20" t="inlineStr">
        <is>
          <t>Observatorio de la Nutrición y de Estudio de la Obesidad</t>
        </is>
      </c>
      <c r="C183" s="20" t="inlineStr">
        <is>
          <t>Tema funcional</t>
        </is>
      </c>
      <c r="D183" s="20" t="inlineStr">
        <is>
          <t>CE</t>
        </is>
      </c>
      <c r="E183" s="20" t="n"/>
      <c r="F183" s="20" t="inlineStr">
        <is>
          <t>Nutrición y obesidad</t>
        </is>
      </c>
    </row>
    <row r="184">
      <c r="A184" s="20" t="n">
        <v>18</v>
      </c>
      <c r="B184" s="20" t="inlineStr">
        <is>
          <t>Observatorio de la Nutrición y de Estudio de la Obesidad</t>
        </is>
      </c>
      <c r="C184" s="20" t="inlineStr">
        <is>
          <t>Coste de apoyo (sin presupuesto propio): unidad, vocales y dietas</t>
        </is>
      </c>
      <c r="D184" s="20" t="inlineStr">
        <is>
          <t>CG</t>
        </is>
      </c>
      <c r="E184" s="20" t="n"/>
      <c r="F184" s="20" t="inlineStr">
        <is>
          <t>Apoyo: Unidad técnica de la Estrategia NAOS (AESAN), con sus recursos humanos y materiales (apdo. Cuarto.1). Secretaría: un representante de AESAN responsable del seguimiento de NAOS (apdo. Tercero.1.D). vocales: 14. miembros: no retribuidos (apdo. Quinto del Acuerdo CM 18/01/2013: «no percibirán remuneración alguna en el ejercicio de sus funciones»).</t>
        </is>
      </c>
    </row>
    <row r="185">
      <c r="A185" s="20" t="n">
        <v>19</v>
      </c>
      <c r="B185" s="20" t="inlineStr">
        <is>
          <t>Consejo Estatal de Responsabilidad Social de las Empresas (CERSE)</t>
        </is>
      </c>
      <c r="C185" s="20" t="inlineStr">
        <is>
          <t>Fuentes de la ficha</t>
        </is>
      </c>
      <c r="D185" s="20" t="inlineStr">
        <is>
          <t>Z</t>
        </is>
      </c>
      <c r="E185" s="20" t="inlineStr">
        <is>
          <t>https://www.boe.es/diario_boe/txt.php?id=BOE-A-2008-3868
https://rse.mites.gob.es/organismos-y-redes/consejo-estatal-de-rse</t>
        </is>
      </c>
      <c r="F185" s="20" t="inlineStr">
        <is>
          <t>https://www.boe.es/diario_boe/txt.php?id=BOE-A-2008-3868
https://rse.mites.gob.es/organismos-y-redes/consejo-estatal-de-rse
https://www.boe.es/eli/es/rd/2008/02/15/221/con</t>
        </is>
      </c>
    </row>
    <row r="186">
      <c r="A186" s="20" t="n">
        <v>19</v>
      </c>
      <c r="B186" s="20" t="inlineStr">
        <is>
          <t>Consejo Estatal de Responsabilidad Social de las Empresas (CERSE)</t>
        </is>
      </c>
      <c r="C186" s="20" t="inlineStr">
        <is>
          <t>Clasificación: útil / no útil</t>
        </is>
      </c>
      <c r="D186" s="20" t="inlineStr">
        <is>
          <t>BV</t>
        </is>
      </c>
      <c r="E186" s="20" t="n"/>
      <c r="F186" s="20" t="inlineStr">
        <is>
          <t>No útil</t>
        </is>
      </c>
    </row>
    <row r="187">
      <c r="A187" s="20" t="n">
        <v>19</v>
      </c>
      <c r="B187" s="20" t="inlineStr">
        <is>
          <t>Consejo Estatal de Responsabilidad Social de las Empresas (CERSE)</t>
        </is>
      </c>
      <c r="C187" s="20" t="inlineStr">
        <is>
          <t>Clasificación: veredicto</t>
        </is>
      </c>
      <c r="D187" s="20" t="inlineStr">
        <is>
          <t>BW</t>
        </is>
      </c>
      <c r="E187" s="20" t="n"/>
      <c r="F187" s="20" t="inlineStr">
        <is>
          <t>Suprimir</t>
        </is>
      </c>
    </row>
    <row r="188">
      <c r="A188" s="20" t="n">
        <v>19</v>
      </c>
      <c r="B188" s="20" t="inlineStr">
        <is>
          <t>Consejo Estatal de Responsabilidad Social de las Empresas (CERSE)</t>
        </is>
      </c>
      <c r="C188" s="20" t="inlineStr">
        <is>
          <t>Clasificación: función</t>
        </is>
      </c>
      <c r="D188" s="20" t="inlineStr">
        <is>
          <t>BX</t>
        </is>
      </c>
      <c r="E188" s="20" t="n"/>
      <c r="F188" s="20" t="inlineStr">
        <is>
          <t>Consultivo o participación</t>
        </is>
      </c>
    </row>
    <row r="189">
      <c r="A189" s="20" t="n">
        <v>19</v>
      </c>
      <c r="B189" s="20" t="inlineStr">
        <is>
          <t>Consejo Estatal de Responsabilidad Social de las Empresas (CERSE)</t>
        </is>
      </c>
      <c r="C189" s="20" t="inlineStr">
        <is>
          <t>Clasificación: exigida por la UE</t>
        </is>
      </c>
      <c r="D189" s="20" t="inlineStr">
        <is>
          <t>BZ</t>
        </is>
      </c>
      <c r="E189" s="20" t="n"/>
      <c r="F189" s="20" t="inlineStr">
        <is>
          <t>No</t>
        </is>
      </c>
    </row>
    <row r="190">
      <c r="A190" s="20" t="n">
        <v>19</v>
      </c>
      <c r="B190" s="20" t="inlineStr">
        <is>
          <t>Consejo Estatal de Responsabilidad Social de las Empresas (CERSE)</t>
        </is>
      </c>
      <c r="C190" s="20" t="inlineStr">
        <is>
          <t>Clasificación: actividad reciente</t>
        </is>
      </c>
      <c r="D190" s="20" t="inlineStr">
        <is>
          <t>CA</t>
        </is>
      </c>
      <c r="E190" s="20" t="n"/>
      <c r="F190" s="20" t="inlineStr">
        <is>
          <t>No acreditada</t>
        </is>
      </c>
    </row>
    <row r="191">
      <c r="A191" s="20" t="n">
        <v>19</v>
      </c>
      <c r="B191" s="20" t="inlineStr">
        <is>
          <t>Consejo Estatal de Responsabilidad Social de las Empresas (CERSE)</t>
        </is>
      </c>
      <c r="C191" s="20" t="inlineStr">
        <is>
          <t>Clasificación: motivo</t>
        </is>
      </c>
      <c r="D191" s="20" t="inlineStr">
        <is>
          <t>CB</t>
        </is>
      </c>
      <c r="E191" s="20" t="n"/>
      <c r="F191" s="20" t="inlineStr">
        <is>
          <t>Observatorio, consejo o comisión: el P100 los cierra salvo que su ministerio demuestre que su trabajo cambia decisiones o mejora un servicio; publicar informes no cuenta.</t>
        </is>
      </c>
    </row>
    <row r="192">
      <c r="A192" s="20" t="n">
        <v>19</v>
      </c>
      <c r="B192" s="20" t="inlineStr">
        <is>
          <t>Consejo Estatal de Responsabilidad Social de las Empresas (CERSE)</t>
        </is>
      </c>
      <c r="C192" s="20" t="inlineStr">
        <is>
          <t>Clasificación: base en el P100</t>
        </is>
      </c>
      <c r="D192" s="20" t="inlineStr">
        <is>
          <t>CC</t>
        </is>
      </c>
      <c r="E192" s="20" t="n"/>
      <c r="F192" s="20" t="inlineStr">
        <is>
          <t>Explícito en el P100: Costes del Estado 2</t>
        </is>
      </c>
    </row>
    <row r="193">
      <c r="A193" s="20" t="n">
        <v>19</v>
      </c>
      <c r="B193" s="20" t="inlineStr">
        <is>
          <t>Consejo Estatal de Responsabilidad Social de las Empresas (CERSE)</t>
        </is>
      </c>
      <c r="C193" s="20" t="inlineStr">
        <is>
          <t>Clasificación: destino de sus funciones</t>
        </is>
      </c>
      <c r="D193" s="20" t="inlineStr">
        <is>
          <t>CD</t>
        </is>
      </c>
      <c r="E193" s="20" t="n"/>
      <c r="F193" s="20" t="inlineStr">
        <is>
          <t>Estructura ordinaria del ministerio, si alguna función resultara imprescindible</t>
        </is>
      </c>
    </row>
    <row r="194">
      <c r="A194" s="20" t="n">
        <v>19</v>
      </c>
      <c r="B194" s="20" t="inlineStr">
        <is>
          <t>Consejo Estatal de Responsabilidad Social de las Empresas (CERSE)</t>
        </is>
      </c>
      <c r="C194" s="20" t="inlineStr">
        <is>
          <t>Tema funcional</t>
        </is>
      </c>
      <c r="D194" s="20" t="inlineStr">
        <is>
          <t>CE</t>
        </is>
      </c>
      <c r="E194" s="20" t="n"/>
      <c r="F194" s="20" t="inlineStr">
        <is>
          <t>Responsabilidad social empresarial</t>
        </is>
      </c>
    </row>
    <row r="195">
      <c r="A195" s="20" t="n">
        <v>19</v>
      </c>
      <c r="B195" s="20" t="inlineStr">
        <is>
          <t>Consejo Estatal de Responsabilidad Social de las Empresas (CERSE)</t>
        </is>
      </c>
      <c r="C195" s="20" t="inlineStr">
        <is>
          <t>Coste de apoyo (sin presupuesto propio): unidad, vocales y dietas</t>
        </is>
      </c>
      <c r="D195" s="20" t="inlineStr">
        <is>
          <t>CG</t>
        </is>
      </c>
      <c r="E195" s="20" t="n"/>
      <c r="F195" s="20" t="inlineStr">
        <is>
          <t>Apoyo: DG competente en RSE (Economía Social y RSE): preparación, apoyo técnico y gestión (art. 2.2); su titular asume la secretaría y «podrá disponer de la asistencia de personal de apoyo» (art. 5.3, redacción RD 301/2026); medios de la SE de Economía Social (DA 4.ª). vocales: 56.</t>
        </is>
      </c>
    </row>
    <row r="196">
      <c r="A196" s="20" t="n">
        <v>20</v>
      </c>
      <c r="B196" s="20" t="inlineStr">
        <is>
          <t>Consejo Estatal del Pueblo Gitano</t>
        </is>
      </c>
      <c r="C196" s="20" t="inlineStr">
        <is>
          <t>Fuentes de la ficha</t>
        </is>
      </c>
      <c r="D196" s="20" t="inlineStr">
        <is>
          <t>Z</t>
        </is>
      </c>
      <c r="E196" s="20" t="inlineStr">
        <is>
          <t>https://www.boe.es/boe/dias/2005/08/26/pdfs/A29622-29625.pdf</t>
        </is>
      </c>
      <c r="F196" s="20" t="inlineStr">
        <is>
          <t>https://www.boe.es/boe/dias/2005/08/26/pdfs/A29622-29625.pdf
https://www.boe.es/buscar/pdf/2005/BOE-A-2005-14549-consolidado.pdf</t>
        </is>
      </c>
    </row>
    <row r="197">
      <c r="A197" s="20" t="n">
        <v>20</v>
      </c>
      <c r="B197" s="20" t="inlineStr">
        <is>
          <t>Consejo Estatal del Pueblo Gitano</t>
        </is>
      </c>
      <c r="C197" s="20" t="inlineStr">
        <is>
          <t>Clasificación: útil / no útil</t>
        </is>
      </c>
      <c r="D197" s="20" t="inlineStr">
        <is>
          <t>BV</t>
        </is>
      </c>
      <c r="E197" s="20" t="n"/>
      <c r="F197" s="20" t="inlineStr">
        <is>
          <t>No útil</t>
        </is>
      </c>
    </row>
    <row r="198">
      <c r="A198" s="20" t="n">
        <v>20</v>
      </c>
      <c r="B198" s="20" t="inlineStr">
        <is>
          <t>Consejo Estatal del Pueblo Gitano</t>
        </is>
      </c>
      <c r="C198" s="20" t="inlineStr">
        <is>
          <t>Clasificación: veredicto</t>
        </is>
      </c>
      <c r="D198" s="20" t="inlineStr">
        <is>
          <t>BW</t>
        </is>
      </c>
      <c r="E198" s="20" t="n"/>
      <c r="F198" s="20" t="inlineStr">
        <is>
          <t>Suprimir</t>
        </is>
      </c>
    </row>
    <row r="199">
      <c r="A199" s="20" t="n">
        <v>20</v>
      </c>
      <c r="B199" s="20" t="inlineStr">
        <is>
          <t>Consejo Estatal del Pueblo Gitano</t>
        </is>
      </c>
      <c r="C199" s="20" t="inlineStr">
        <is>
          <t>Clasificación: función</t>
        </is>
      </c>
      <c r="D199" s="20" t="inlineStr">
        <is>
          <t>BX</t>
        </is>
      </c>
      <c r="E199" s="20" t="n"/>
      <c r="F199" s="20" t="inlineStr">
        <is>
          <t>Consultivo o participación</t>
        </is>
      </c>
    </row>
    <row r="200">
      <c r="A200" s="20" t="n">
        <v>20</v>
      </c>
      <c r="B200" s="20" t="inlineStr">
        <is>
          <t>Consejo Estatal del Pueblo Gitano</t>
        </is>
      </c>
      <c r="C200" s="20" t="inlineStr">
        <is>
          <t>Clasificación: exigida por la UE</t>
        </is>
      </c>
      <c r="D200" s="20" t="inlineStr">
        <is>
          <t>BZ</t>
        </is>
      </c>
      <c r="E200" s="20" t="n"/>
      <c r="F200" s="20" t="inlineStr">
        <is>
          <t>No</t>
        </is>
      </c>
    </row>
    <row r="201">
      <c r="A201" s="20" t="n">
        <v>20</v>
      </c>
      <c r="B201" s="20" t="inlineStr">
        <is>
          <t>Consejo Estatal del Pueblo Gitano</t>
        </is>
      </c>
      <c r="C201" s="20" t="inlineStr">
        <is>
          <t>Clasificación: actividad reciente</t>
        </is>
      </c>
      <c r="D201" s="20" t="inlineStr">
        <is>
          <t>CA</t>
        </is>
      </c>
      <c r="E201" s="20" t="n"/>
      <c r="F201" s="20" t="inlineStr">
        <is>
          <t>Acreditada</t>
        </is>
      </c>
    </row>
    <row r="202">
      <c r="A202" s="20" t="n">
        <v>20</v>
      </c>
      <c r="B202" s="20" t="inlineStr">
        <is>
          <t>Consejo Estatal del Pueblo Gitano</t>
        </is>
      </c>
      <c r="C202" s="20" t="inlineStr">
        <is>
          <t>Clasificación: motivo</t>
        </is>
      </c>
      <c r="D202" s="20" t="inlineStr">
        <is>
          <t>CB</t>
        </is>
      </c>
      <c r="E202" s="20" t="n"/>
      <c r="F202" s="20" t="inlineStr">
        <is>
          <t>Observatorio, consejo o comisión: el P100 los cierra salvo que su ministerio demuestre que su trabajo cambia decisiones o mejora un servicio; publicar informes no cuenta.</t>
        </is>
      </c>
    </row>
    <row r="203">
      <c r="A203" s="20" t="n">
        <v>20</v>
      </c>
      <c r="B203" s="20" t="inlineStr">
        <is>
          <t>Consejo Estatal del Pueblo Gitano</t>
        </is>
      </c>
      <c r="C203" s="20" t="inlineStr">
        <is>
          <t>Clasificación: base en el P100</t>
        </is>
      </c>
      <c r="D203" s="20" t="inlineStr">
        <is>
          <t>CC</t>
        </is>
      </c>
      <c r="E203" s="20" t="n"/>
      <c r="F203" s="20" t="inlineStr">
        <is>
          <t>Explícito en el P100: Costes del Estado 2</t>
        </is>
      </c>
    </row>
    <row r="204">
      <c r="A204" s="20" t="n">
        <v>20</v>
      </c>
      <c r="B204" s="20" t="inlineStr">
        <is>
          <t>Consejo Estatal del Pueblo Gitano</t>
        </is>
      </c>
      <c r="C204" s="20" t="inlineStr">
        <is>
          <t>Clasificación: destino de sus funciones</t>
        </is>
      </c>
      <c r="D204" s="20" t="inlineStr">
        <is>
          <t>CD</t>
        </is>
      </c>
      <c r="E204" s="20" t="n"/>
      <c r="F204" s="20" t="inlineStr">
        <is>
          <t>Estructura ordinaria del ministerio, si alguna función resultara imprescindible</t>
        </is>
      </c>
    </row>
    <row r="205">
      <c r="A205" s="20" t="n">
        <v>20</v>
      </c>
      <c r="B205" s="20" t="inlineStr">
        <is>
          <t>Consejo Estatal del Pueblo Gitano</t>
        </is>
      </c>
      <c r="C205" s="20" t="inlineStr">
        <is>
          <t>Tema funcional</t>
        </is>
      </c>
      <c r="D205" s="20" t="inlineStr">
        <is>
          <t>CE</t>
        </is>
      </c>
      <c r="E205" s="20" t="n"/>
      <c r="F205" s="20" t="inlineStr">
        <is>
          <t>Participación: pueblo gitano</t>
        </is>
      </c>
    </row>
    <row r="206">
      <c r="A206" s="20" t="n">
        <v>20</v>
      </c>
      <c r="B206" s="20" t="inlineStr">
        <is>
          <t>Consejo Estatal del Pueblo Gitano</t>
        </is>
      </c>
      <c r="C206" s="20" t="inlineStr">
        <is>
          <t>Coste de apoyo (sin presupuesto propio): unidad, vocales y dietas</t>
        </is>
      </c>
      <c r="D206" s="20" t="inlineStr">
        <is>
          <t>CG</t>
        </is>
      </c>
      <c r="E206" s="20" t="n"/>
      <c r="F206" s="20" t="inlineStr">
        <is>
          <t>Apoyo: Secretaría: titular de la SG de Programas Sociales, que «podrá ser asistido por el personal de apoyo necesario» (art. 8.1 RD 891/2005); la web ministerial la sitúa hoy en la SG de Servicios Sociales. Coste con cargo a créditos del ministerio (DA 2.ª). vocales: 42.</t>
        </is>
      </c>
    </row>
    <row r="207">
      <c r="A207" s="20" t="n">
        <v>21</v>
      </c>
      <c r="B207" s="20" t="inlineStr">
        <is>
          <t>Consejo de Participación de la Mujer</t>
        </is>
      </c>
      <c r="C207" s="20" t="inlineStr">
        <is>
          <t>Fuentes de la ficha</t>
        </is>
      </c>
      <c r="D207" s="20" t="inlineStr">
        <is>
          <t>Z</t>
        </is>
      </c>
      <c r="E207" s="20" t="inlineStr">
        <is>
          <t>https://www.boe.es/buscar/act.php?id=BOE-A-2009-20160</t>
        </is>
      </c>
      <c r="F207" s="20" t="inlineStr">
        <is>
          <t>https://www.boe.es/buscar/act.php?id=BOE-A-2009-20160
https://www.boe.es/eli/es/rd/2009/11/20/1791/con</t>
        </is>
      </c>
    </row>
    <row r="208">
      <c r="A208" s="20" t="n">
        <v>21</v>
      </c>
      <c r="B208" s="20" t="inlineStr">
        <is>
          <t>Consejo de Participación de la Mujer</t>
        </is>
      </c>
      <c r="C208" s="20" t="inlineStr">
        <is>
          <t>Clasificación: útil / no útil</t>
        </is>
      </c>
      <c r="D208" s="20" t="inlineStr">
        <is>
          <t>BV</t>
        </is>
      </c>
      <c r="E208" s="20" t="n"/>
      <c r="F208" s="20" t="inlineStr">
        <is>
          <t>No útil</t>
        </is>
      </c>
    </row>
    <row r="209">
      <c r="A209" s="20" t="n">
        <v>21</v>
      </c>
      <c r="B209" s="20" t="inlineStr">
        <is>
          <t>Consejo de Participación de la Mujer</t>
        </is>
      </c>
      <c r="C209" s="20" t="inlineStr">
        <is>
          <t>Clasificación: veredicto</t>
        </is>
      </c>
      <c r="D209" s="20" t="inlineStr">
        <is>
          <t>BW</t>
        </is>
      </c>
      <c r="E209" s="20" t="n"/>
      <c r="F209" s="20" t="inlineStr">
        <is>
          <t>Suprimir</t>
        </is>
      </c>
    </row>
    <row r="210">
      <c r="A210" s="20" t="n">
        <v>21</v>
      </c>
      <c r="B210" s="20" t="inlineStr">
        <is>
          <t>Consejo de Participación de la Mujer</t>
        </is>
      </c>
      <c r="C210" s="20" t="inlineStr">
        <is>
          <t>Clasificación: función</t>
        </is>
      </c>
      <c r="D210" s="20" t="inlineStr">
        <is>
          <t>BX</t>
        </is>
      </c>
      <c r="E210" s="20" t="n"/>
      <c r="F210" s="20" t="inlineStr">
        <is>
          <t>Consultivo o participación</t>
        </is>
      </c>
    </row>
    <row r="211">
      <c r="A211" s="20" t="n">
        <v>21</v>
      </c>
      <c r="B211" s="20" t="inlineStr">
        <is>
          <t>Consejo de Participación de la Mujer</t>
        </is>
      </c>
      <c r="C211" s="20" t="inlineStr">
        <is>
          <t>Clasificación: exigida por la UE</t>
        </is>
      </c>
      <c r="D211" s="20" t="inlineStr">
        <is>
          <t>BZ</t>
        </is>
      </c>
      <c r="E211" s="20" t="n"/>
      <c r="F211" s="20" t="inlineStr">
        <is>
          <t>No</t>
        </is>
      </c>
    </row>
    <row r="212">
      <c r="A212" s="20" t="n">
        <v>21</v>
      </c>
      <c r="B212" s="20" t="inlineStr">
        <is>
          <t>Consejo de Participación de la Mujer</t>
        </is>
      </c>
      <c r="C212" s="20" t="inlineStr">
        <is>
          <t>Clasificación: actividad reciente</t>
        </is>
      </c>
      <c r="D212" s="20" t="inlineStr">
        <is>
          <t>CA</t>
        </is>
      </c>
      <c r="E212" s="20" t="n"/>
      <c r="F212" s="20" t="inlineStr">
        <is>
          <t>No acreditada</t>
        </is>
      </c>
    </row>
    <row r="213">
      <c r="A213" s="20" t="n">
        <v>21</v>
      </c>
      <c r="B213" s="20" t="inlineStr">
        <is>
          <t>Consejo de Participación de la Mujer</t>
        </is>
      </c>
      <c r="C213" s="20" t="inlineStr">
        <is>
          <t>Clasificación: motivo</t>
        </is>
      </c>
      <c r="D213" s="20" t="inlineStr">
        <is>
          <t>CB</t>
        </is>
      </c>
      <c r="E213" s="20" t="n"/>
      <c r="F213" s="20" t="inlineStr">
        <is>
          <t>Observatorio, consejo o comisión: el P100 los cierra salvo que su ministerio demuestre que su trabajo cambia decisiones o mejora un servicio; publicar informes no cuenta.</t>
        </is>
      </c>
    </row>
    <row r="214">
      <c r="A214" s="20" t="n">
        <v>21</v>
      </c>
      <c r="B214" s="20" t="inlineStr">
        <is>
          <t>Consejo de Participación de la Mujer</t>
        </is>
      </c>
      <c r="C214" s="20" t="inlineStr">
        <is>
          <t>Clasificación: base en el P100</t>
        </is>
      </c>
      <c r="D214" s="20" t="inlineStr">
        <is>
          <t>CC</t>
        </is>
      </c>
      <c r="E214" s="20" t="n"/>
      <c r="F214" s="20" t="inlineStr">
        <is>
          <t>Explícito en el P100: Costes del Estado 2</t>
        </is>
      </c>
    </row>
    <row r="215">
      <c r="A215" s="20" t="n">
        <v>21</v>
      </c>
      <c r="B215" s="20" t="inlineStr">
        <is>
          <t>Consejo de Participación de la Mujer</t>
        </is>
      </c>
      <c r="C215" s="20" t="inlineStr">
        <is>
          <t>Clasificación: destino de sus funciones</t>
        </is>
      </c>
      <c r="D215" s="20" t="inlineStr">
        <is>
          <t>CD</t>
        </is>
      </c>
      <c r="E215" s="20" t="n"/>
      <c r="F215" s="20" t="inlineStr">
        <is>
          <t>Estructura ordinaria del ministerio, si alguna función resultara imprescindible</t>
        </is>
      </c>
    </row>
    <row r="216">
      <c r="A216" s="20" t="n">
        <v>21</v>
      </c>
      <c r="B216" s="20" t="inlineStr">
        <is>
          <t>Consejo de Participación de la Mujer</t>
        </is>
      </c>
      <c r="C216" s="20" t="inlineStr">
        <is>
          <t>Tema funcional</t>
        </is>
      </c>
      <c r="D216" s="20" t="inlineStr">
        <is>
          <t>CE</t>
        </is>
      </c>
      <c r="E216" s="20" t="n"/>
      <c r="F216" s="20" t="inlineStr">
        <is>
          <t>Participación: mujeres</t>
        </is>
      </c>
    </row>
    <row r="217">
      <c r="A217" s="20" t="n">
        <v>21</v>
      </c>
      <c r="B217" s="20" t="inlineStr">
        <is>
          <t>Consejo de Participación de la Mujer</t>
        </is>
      </c>
      <c r="C217" s="20" t="inlineStr">
        <is>
          <t>Coste de apoyo (sin presupuesto propio): unidad, vocales y dietas</t>
        </is>
      </c>
      <c r="D217" s="20" t="inlineStr">
        <is>
          <t>CG</t>
        </is>
      </c>
      <c r="E217" s="20" t="n"/>
      <c r="F217" s="20" t="inlineStr">
        <is>
          <t>Apoyo: Secretaría: Presidencia del Instituto de las Mujeres, O.A. (art. 7.1, redacción RD 634/2026); asistencia técnica a las vocalías «por medio de los servicios correspondientes» (art. 7.2.d); créditos del Ministerio de Igualdad (DA 4.ª). vocales: 40.</t>
        </is>
      </c>
    </row>
    <row r="218">
      <c r="A218" s="20" t="n">
        <v>22</v>
      </c>
      <c r="B218" s="20" t="inlineStr">
        <is>
          <t>Fundación Pluralismo y Convivencia, F.S.P.</t>
        </is>
      </c>
      <c r="C218" s="20" t="inlineStr">
        <is>
          <t>Clasificación: útil / no útil</t>
        </is>
      </c>
      <c r="D218" s="20" t="inlineStr">
        <is>
          <t>BV</t>
        </is>
      </c>
      <c r="E218" s="20" t="n"/>
      <c r="F218" s="20" t="inlineStr">
        <is>
          <t>No útil</t>
        </is>
      </c>
    </row>
    <row r="219">
      <c r="A219" s="20" t="n">
        <v>22</v>
      </c>
      <c r="B219" s="20" t="inlineStr">
        <is>
          <t>Fundación Pluralismo y Convivencia, F.S.P.</t>
        </is>
      </c>
      <c r="C219" s="20" t="inlineStr">
        <is>
          <t>Clasificación: veredicto</t>
        </is>
      </c>
      <c r="D219" s="20" t="inlineStr">
        <is>
          <t>BW</t>
        </is>
      </c>
      <c r="E219" s="20" t="n"/>
      <c r="F219" s="20" t="inlineStr">
        <is>
          <t>Suprimir</t>
        </is>
      </c>
    </row>
    <row r="220">
      <c r="A220" s="20" t="n">
        <v>22</v>
      </c>
      <c r="B220" s="20" t="inlineStr">
        <is>
          <t>Fundación Pluralismo y Convivencia, F.S.P.</t>
        </is>
      </c>
      <c r="C220" s="20" t="inlineStr">
        <is>
          <t>Clasificación: función</t>
        </is>
      </c>
      <c r="D220" s="20" t="inlineStr">
        <is>
          <t>BX</t>
        </is>
      </c>
      <c r="E220" s="20" t="n"/>
      <c r="F220" s="20" t="inlineStr">
        <is>
          <t>Financiación y ayudas</t>
        </is>
      </c>
    </row>
    <row r="221">
      <c r="A221" s="20" t="n">
        <v>22</v>
      </c>
      <c r="B221" s="20" t="inlineStr">
        <is>
          <t>Fundación Pluralismo y Convivencia, F.S.P.</t>
        </is>
      </c>
      <c r="C221" s="20" t="inlineStr">
        <is>
          <t>Clasificación: exigida por la UE</t>
        </is>
      </c>
      <c r="D221" s="20" t="inlineStr">
        <is>
          <t>BZ</t>
        </is>
      </c>
      <c r="E221" s="20" t="n"/>
      <c r="F221" s="20" t="inlineStr">
        <is>
          <t>No</t>
        </is>
      </c>
    </row>
    <row r="222">
      <c r="A222" s="20" t="n">
        <v>22</v>
      </c>
      <c r="B222" s="20" t="inlineStr">
        <is>
          <t>Fundación Pluralismo y Convivencia, F.S.P.</t>
        </is>
      </c>
      <c r="C222" s="20" t="inlineStr">
        <is>
          <t>Clasificación: actividad reciente</t>
        </is>
      </c>
      <c r="D222" s="20" t="inlineStr">
        <is>
          <t>CA</t>
        </is>
      </c>
      <c r="E222" s="20" t="n"/>
      <c r="F222" s="20" t="inlineStr">
        <is>
          <t>Acreditada</t>
        </is>
      </c>
    </row>
    <row r="223">
      <c r="A223" s="20" t="n">
        <v>22</v>
      </c>
      <c r="B223" s="20" t="inlineStr">
        <is>
          <t>Fundación Pluralismo y Convivencia, F.S.P.</t>
        </is>
      </c>
      <c r="C223" s="20" t="inlineStr">
        <is>
          <t>Clasificación: motivo</t>
        </is>
      </c>
      <c r="D223" s="20" t="inlineStr">
        <is>
          <t>CB</t>
        </is>
      </c>
      <c r="E223" s="20" t="n"/>
      <c r="F223" s="20" t="inlineStr">
        <is>
          <t>Fundación del sector público que reparte subvenciones a confesiones: el P100 cierra las fundaciones que no demuestren resultados y suprime las subvenciones por existir.</t>
        </is>
      </c>
    </row>
    <row r="224">
      <c r="A224" s="20" t="n">
        <v>22</v>
      </c>
      <c r="B224" s="20" t="inlineStr">
        <is>
          <t>Fundación Pluralismo y Convivencia, F.S.P.</t>
        </is>
      </c>
      <c r="C224" s="20" t="inlineStr">
        <is>
          <t>Clasificación: base en el P100</t>
        </is>
      </c>
      <c r="D224" s="20" t="inlineStr">
        <is>
          <t>CC</t>
        </is>
      </c>
      <c r="E224" s="20" t="n"/>
      <c r="F224" s="20" t="inlineStr">
        <is>
          <t>Explícito en el P100: Costes del Estado 2 y 3</t>
        </is>
      </c>
    </row>
    <row r="225">
      <c r="A225" s="20" t="n">
        <v>22</v>
      </c>
      <c r="B225" s="20" t="inlineStr">
        <is>
          <t>Fundación Pluralismo y Convivencia, F.S.P.</t>
        </is>
      </c>
      <c r="C225" s="20" t="inlineStr">
        <is>
          <t>Tema funcional</t>
        </is>
      </c>
      <c r="D225" s="20" t="inlineStr">
        <is>
          <t>CE</t>
        </is>
      </c>
      <c r="E225" s="20" t="n"/>
      <c r="F225" s="20" t="inlineStr">
        <is>
          <t>Libertad religiosa</t>
        </is>
      </c>
    </row>
    <row r="226">
      <c r="A226" s="20" t="n">
        <v>23</v>
      </c>
      <c r="B226" s="20" t="inlineStr">
        <is>
          <t>Oficina Independiente de Regulación y Supervisión de la Contratación (OIReScon)</t>
        </is>
      </c>
      <c r="C226" s="20" t="inlineStr">
        <is>
          <t>Clasificación: útil / no útil</t>
        </is>
      </c>
      <c r="D226" s="20" t="inlineStr">
        <is>
          <t>BV</t>
        </is>
      </c>
      <c r="E226" s="20" t="n"/>
      <c r="F226" s="20" t="inlineStr">
        <is>
          <t>Útil</t>
        </is>
      </c>
    </row>
    <row r="227">
      <c r="A227" s="20" t="n">
        <v>23</v>
      </c>
      <c r="B227" s="20" t="inlineStr">
        <is>
          <t>Oficina Independiente de Regulación y Supervisión de la Contratación (OIReScon)</t>
        </is>
      </c>
      <c r="C227" s="20" t="inlineStr">
        <is>
          <t>Clasificación: veredicto</t>
        </is>
      </c>
      <c r="D227" s="20" t="inlineStr">
        <is>
          <t>BW</t>
        </is>
      </c>
      <c r="E227" s="20" t="n"/>
      <c r="F227" s="20" t="inlineStr">
        <is>
          <t>Mantener</t>
        </is>
      </c>
    </row>
    <row r="228">
      <c r="A228" s="20" t="n">
        <v>23</v>
      </c>
      <c r="B228" s="20" t="inlineStr">
        <is>
          <t>Oficina Independiente de Regulación y Supervisión de la Contratación (OIReScon)</t>
        </is>
      </c>
      <c r="C228" s="20" t="inlineStr">
        <is>
          <t>Clasificación: función</t>
        </is>
      </c>
      <c r="D228" s="20" t="inlineStr">
        <is>
          <t>BX</t>
        </is>
      </c>
      <c r="E228" s="20" t="n"/>
      <c r="F228" s="20" t="inlineStr">
        <is>
          <t>Control interno y cumplimiento</t>
        </is>
      </c>
    </row>
    <row r="229">
      <c r="A229" s="20" t="n">
        <v>23</v>
      </c>
      <c r="B229" s="20" t="inlineStr">
        <is>
          <t>Oficina Independiente de Regulación y Supervisión de la Contratación (OIReScon)</t>
        </is>
      </c>
      <c r="C229" s="20" t="inlineStr">
        <is>
          <t>Clasificación: exigida por la UE</t>
        </is>
      </c>
      <c r="D229" s="20" t="inlineStr">
        <is>
          <t>BZ</t>
        </is>
      </c>
      <c r="E229" s="20" t="n"/>
      <c r="F229" s="20" t="inlineStr">
        <is>
          <t>No</t>
        </is>
      </c>
    </row>
    <row r="230">
      <c r="A230" s="20" t="n">
        <v>23</v>
      </c>
      <c r="B230" s="20" t="inlineStr">
        <is>
          <t>Oficina Independiente de Regulación y Supervisión de la Contratación (OIReScon)</t>
        </is>
      </c>
      <c r="C230" s="20" t="inlineStr">
        <is>
          <t>Clasificación: actividad reciente</t>
        </is>
      </c>
      <c r="D230" s="20" t="inlineStr">
        <is>
          <t>CA</t>
        </is>
      </c>
      <c r="E230" s="20" t="n"/>
      <c r="F230" s="20" t="inlineStr">
        <is>
          <t>Acreditada</t>
        </is>
      </c>
    </row>
    <row r="231">
      <c r="A231" s="20" t="n">
        <v>23</v>
      </c>
      <c r="B231" s="20" t="inlineStr">
        <is>
          <t>Oficina Independiente de Regulación y Supervisión de la Contratación (OIReScon)</t>
        </is>
      </c>
      <c r="C231" s="20" t="inlineStr">
        <is>
          <t>Clasificación: motivo</t>
        </is>
      </c>
      <c r="D231" s="20" t="inlineStr">
        <is>
          <t>CB</t>
        </is>
      </c>
      <c r="E231" s="20" t="n"/>
      <c r="F231" s="20" t="inlineStr">
        <is>
          <t>Supervisa la contratación pública con independencia; encaja con las medidas de competencia en licitaciones del P100.</t>
        </is>
      </c>
    </row>
    <row r="232">
      <c r="A232" s="20" t="n">
        <v>23</v>
      </c>
      <c r="B232" s="20" t="inlineStr">
        <is>
          <t>Oficina Independiente de Regulación y Supervisión de la Contratación (OIReScon)</t>
        </is>
      </c>
      <c r="C232" s="20" t="inlineStr">
        <is>
          <t>Clasificación: base en el P100</t>
        </is>
      </c>
      <c r="D232" s="20" t="inlineStr">
        <is>
          <t>CC</t>
        </is>
      </c>
      <c r="E232" s="20" t="n"/>
      <c r="F232" s="20" t="inlineStr">
        <is>
          <t>Aplicando el criterio del P100: Costes del Estado 9 (establecer hechos con independencia)</t>
        </is>
      </c>
    </row>
    <row r="233">
      <c r="A233" s="20" t="n">
        <v>23</v>
      </c>
      <c r="B233" s="20" t="inlineStr">
        <is>
          <t>Oficina Independiente de Regulación y Supervisión de la Contratación (OIReScon)</t>
        </is>
      </c>
      <c r="C233" s="20" t="inlineStr">
        <is>
          <t>Tema funcional</t>
        </is>
      </c>
      <c r="D233" s="20" t="inlineStr">
        <is>
          <t>CE</t>
        </is>
      </c>
      <c r="E233" s="20" t="n"/>
      <c r="F233" s="20" t="inlineStr">
        <is>
          <t>Supervisión de la contratación pública</t>
        </is>
      </c>
    </row>
    <row r="234">
      <c r="A234" s="20" t="n">
        <v>24</v>
      </c>
      <c r="B234" s="20" t="inlineStr">
        <is>
          <t>Comisión Nacional de los Mercados y la Competencia (CNMC)</t>
        </is>
      </c>
      <c r="C234" s="20" t="inlineStr">
        <is>
          <t>Clasificación: útil / no útil</t>
        </is>
      </c>
      <c r="D234" s="20" t="inlineStr">
        <is>
          <t>BV</t>
        </is>
      </c>
      <c r="E234" s="20" t="n"/>
      <c r="F234" s="20" t="inlineStr">
        <is>
          <t>Útil</t>
        </is>
      </c>
    </row>
    <row r="235">
      <c r="A235" s="20" t="n">
        <v>24</v>
      </c>
      <c r="B235" s="20" t="inlineStr">
        <is>
          <t>Comisión Nacional de los Mercados y la Competencia (CNMC)</t>
        </is>
      </c>
      <c r="C235" s="20" t="inlineStr">
        <is>
          <t>Clasificación: veredicto</t>
        </is>
      </c>
      <c r="D235" s="20" t="inlineStr">
        <is>
          <t>BW</t>
        </is>
      </c>
      <c r="E235" s="20" t="n"/>
      <c r="F235" s="20" t="inlineStr">
        <is>
          <t>Mantener</t>
        </is>
      </c>
    </row>
    <row r="236">
      <c r="A236" s="20" t="n">
        <v>24</v>
      </c>
      <c r="B236" s="20" t="inlineStr">
        <is>
          <t>Comisión Nacional de los Mercados y la Competencia (CNMC)</t>
        </is>
      </c>
      <c r="C236" s="20" t="inlineStr">
        <is>
          <t>Clasificación: función</t>
        </is>
      </c>
      <c r="D236" s="20" t="inlineStr">
        <is>
          <t>BX</t>
        </is>
      </c>
      <c r="E236" s="20" t="n"/>
      <c r="F236" s="20" t="inlineStr">
        <is>
          <t>Regulación o inspección de terceros</t>
        </is>
      </c>
    </row>
    <row r="237">
      <c r="A237" s="20" t="n">
        <v>24</v>
      </c>
      <c r="B237" s="20" t="inlineStr">
        <is>
          <t>Comisión Nacional de los Mercados y la Competencia (CNMC)</t>
        </is>
      </c>
      <c r="C237" s="20" t="inlineStr">
        <is>
          <t>Clasificación: duplicidad</t>
        </is>
      </c>
      <c r="D237" s="20" t="inlineStr">
        <is>
          <t>BY</t>
        </is>
      </c>
      <c r="E237" s="20" t="n"/>
      <c r="F237" s="20" t="inlineStr">
        <is>
          <t>Organismo estatal de referencia. 9 comunidades tienen el suyo propio; 10 organismos sobre este tema entre el Estado y las CCAA (verificados).</t>
        </is>
      </c>
    </row>
    <row r="238">
      <c r="A238" s="20" t="n">
        <v>24</v>
      </c>
      <c r="B238" s="20" t="inlineStr">
        <is>
          <t>Comisión Nacional de los Mercados y la Competencia (CNMC)</t>
        </is>
      </c>
      <c r="C238" s="20" t="inlineStr">
        <is>
          <t>Clasificación: exigida por la UE</t>
        </is>
      </c>
      <c r="D238" s="20" t="inlineStr">
        <is>
          <t>BZ</t>
        </is>
      </c>
      <c r="E238" s="20" t="n"/>
      <c r="F238" s="20" t="inlineStr">
        <is>
          <t>Sí: las directivas de energía y comunicaciones exigen un regulador nacional independiente</t>
        </is>
      </c>
    </row>
    <row r="239">
      <c r="A239" s="20" t="n">
        <v>24</v>
      </c>
      <c r="B239" s="20" t="inlineStr">
        <is>
          <t>Comisión Nacional de los Mercados y la Competencia (CNMC)</t>
        </is>
      </c>
      <c r="C239" s="20" t="inlineStr">
        <is>
          <t>Clasificación: actividad reciente</t>
        </is>
      </c>
      <c r="D239" s="20" t="inlineStr">
        <is>
          <t>CA</t>
        </is>
      </c>
      <c r="E239" s="20" t="n"/>
      <c r="F239" s="20" t="inlineStr">
        <is>
          <t>Acreditada</t>
        </is>
      </c>
    </row>
    <row r="240">
      <c r="A240" s="20" t="n">
        <v>24</v>
      </c>
      <c r="B240" s="20" t="inlineStr">
        <is>
          <t>Comisión Nacional de los Mercados y la Competencia (CNMC)</t>
        </is>
      </c>
      <c r="C240" s="20" t="inlineStr">
        <is>
          <t>Clasificación: motivo</t>
        </is>
      </c>
      <c r="D240" s="20" t="inlineStr">
        <is>
          <t>CB</t>
        </is>
      </c>
      <c r="E240" s="20" t="n"/>
      <c r="F240" s="20" t="inlineStr">
        <is>
          <t>Regula mercados y sanciona conductas contra la competencia; el P100 conserva su informe obligatorio. Exigida por la UE.</t>
        </is>
      </c>
    </row>
    <row r="241">
      <c r="A241" s="20" t="n">
        <v>24</v>
      </c>
      <c r="B241" s="20" t="inlineStr">
        <is>
          <t>Comisión Nacional de los Mercados y la Competencia (CNMC)</t>
        </is>
      </c>
      <c r="C241" s="20" t="inlineStr">
        <is>
          <t>Clasificación: base en el P100</t>
        </is>
      </c>
      <c r="D241" s="20" t="inlineStr">
        <is>
          <t>CC</t>
        </is>
      </c>
      <c r="E241" s="20" t="n"/>
      <c r="F241" s="20" t="inlineStr">
        <is>
          <t>Explícito en el P100: Costes del Estado 9; Organización del Estado 11</t>
        </is>
      </c>
    </row>
    <row r="242">
      <c r="A242" s="20" t="n">
        <v>24</v>
      </c>
      <c r="B242" s="20" t="inlineStr">
        <is>
          <t>Comisión Nacional de los Mercados y la Competencia (CNMC)</t>
        </is>
      </c>
      <c r="C242" s="20" t="inlineStr">
        <is>
          <t>Tema funcional</t>
        </is>
      </c>
      <c r="D242" s="20" t="inlineStr">
        <is>
          <t>CE</t>
        </is>
      </c>
      <c r="E242" s="20" t="n"/>
      <c r="F242" s="20" t="inlineStr">
        <is>
          <t>Autoridades de defensa de la competencia</t>
        </is>
      </c>
    </row>
    <row r="243">
      <c r="A243" s="20" t="n">
        <v>24</v>
      </c>
      <c r="B243" s="20" t="inlineStr">
        <is>
          <t>Comisión Nacional de los Mercados y la Competencia (CNMC)</t>
        </is>
      </c>
      <c r="C243" s="20" t="inlineStr">
        <is>
          <t>Organismos del mismo tema (Estado + CCAA, verificados)</t>
        </is>
      </c>
      <c r="D243" s="20" t="inlineStr">
        <is>
          <t>CF</t>
        </is>
      </c>
      <c r="E243" s="20" t="n"/>
      <c r="F243" s="20" t="n">
        <v>10</v>
      </c>
    </row>
    <row r="244">
      <c r="A244" s="20" t="n">
        <v>25</v>
      </c>
      <c r="B244" s="20" t="inlineStr">
        <is>
          <t>Comisión Nacional de la Competencia (CNC)</t>
        </is>
      </c>
      <c r="C244" s="20" t="inlineStr">
        <is>
          <t>Clasificación: útil / no útil</t>
        </is>
      </c>
      <c r="D244" s="20" t="inlineStr">
        <is>
          <t>BV</t>
        </is>
      </c>
      <c r="E244" s="20" t="n"/>
      <c r="F244" s="20" t="inlineStr">
        <is>
          <t>Extinguida</t>
        </is>
      </c>
    </row>
    <row r="245">
      <c r="A245" s="20" t="n">
        <v>25</v>
      </c>
      <c r="B245" s="20" t="inlineStr">
        <is>
          <t>Comisión Nacional de la Competencia (CNC)</t>
        </is>
      </c>
      <c r="C245" s="20" t="inlineStr">
        <is>
          <t>Clasificación: veredicto</t>
        </is>
      </c>
      <c r="D245" s="20" t="inlineStr">
        <is>
          <t>BW</t>
        </is>
      </c>
      <c r="E245" s="20" t="n"/>
      <c r="F245" s="20" t="inlineStr">
        <is>
          <t>Extinguida</t>
        </is>
      </c>
    </row>
    <row r="246">
      <c r="A246" s="20" t="n">
        <v>25</v>
      </c>
      <c r="B246" s="20" t="inlineStr">
        <is>
          <t>Comisión Nacional de la Competencia (CNC)</t>
        </is>
      </c>
      <c r="C246" s="20" t="inlineStr">
        <is>
          <t>Clasificación: función</t>
        </is>
      </c>
      <c r="D246" s="20" t="inlineStr">
        <is>
          <t>BX</t>
        </is>
      </c>
      <c r="E246" s="20" t="n"/>
      <c r="F246" s="20" t="inlineStr">
        <is>
          <t>Extinguida o no constituida</t>
        </is>
      </c>
    </row>
    <row r="247">
      <c r="A247" s="20" t="n">
        <v>25</v>
      </c>
      <c r="B247" s="20" t="inlineStr">
        <is>
          <t>Comisión Nacional de la Competencia (CNC)</t>
        </is>
      </c>
      <c r="C247" s="20" t="inlineStr">
        <is>
          <t>Clasificación: duplicidad</t>
        </is>
      </c>
      <c r="D247" s="20" t="inlineStr">
        <is>
          <t>BY</t>
        </is>
      </c>
      <c r="E247" s="20" t="n"/>
      <c r="F247" s="20" t="inlineStr">
        <is>
          <t>10 organismos sobre este tema entre el Estado y las CCAA (verificados)</t>
        </is>
      </c>
    </row>
    <row r="248">
      <c r="A248" s="20" t="n">
        <v>25</v>
      </c>
      <c r="B248" s="20" t="inlineStr">
        <is>
          <t>Comisión Nacional de la Competencia (CNC)</t>
        </is>
      </c>
      <c r="C248" s="20" t="inlineStr">
        <is>
          <t>Clasificación: exigida por la UE</t>
        </is>
      </c>
      <c r="D248" s="20" t="inlineStr">
        <is>
          <t>BZ</t>
        </is>
      </c>
      <c r="E248" s="20" t="n"/>
      <c r="F248" s="20" t="inlineStr">
        <is>
          <t>No</t>
        </is>
      </c>
    </row>
    <row r="249">
      <c r="A249" s="20" t="n">
        <v>25</v>
      </c>
      <c r="B249" s="20" t="inlineStr">
        <is>
          <t>Comisión Nacional de la Competencia (CNC)</t>
        </is>
      </c>
      <c r="C249" s="20" t="inlineStr">
        <is>
          <t>Clasificación: actividad reciente</t>
        </is>
      </c>
      <c r="D249" s="20" t="inlineStr">
        <is>
          <t>CA</t>
        </is>
      </c>
      <c r="E249" s="20" t="n"/>
      <c r="F249" s="20" t="inlineStr">
        <is>
          <t>No aplica (no vigente)</t>
        </is>
      </c>
    </row>
    <row r="250">
      <c r="A250" s="20" t="n">
        <v>25</v>
      </c>
      <c r="B250" s="20" t="inlineStr">
        <is>
          <t>Comisión Nacional de la Competencia (CNC)</t>
        </is>
      </c>
      <c r="C250" s="20" t="inlineStr">
        <is>
          <t>Clasificación: motivo</t>
        </is>
      </c>
      <c r="D250" s="20" t="inlineStr">
        <is>
          <t>CB</t>
        </is>
      </c>
      <c r="E250" s="20" t="n"/>
      <c r="F250" s="20" t="inlineStr">
        <is>
          <t>Extinguida en 2013 al integrarse en la CNMC.</t>
        </is>
      </c>
    </row>
    <row r="251">
      <c r="A251" s="20" t="n">
        <v>25</v>
      </c>
      <c r="B251" s="20" t="inlineStr">
        <is>
          <t>Comisión Nacional de la Competencia (CNC)</t>
        </is>
      </c>
      <c r="C251" s="20" t="inlineStr">
        <is>
          <t>Tema funcional</t>
        </is>
      </c>
      <c r="D251" s="20" t="inlineStr">
        <is>
          <t>CE</t>
        </is>
      </c>
      <c r="E251" s="20" t="n"/>
      <c r="F251" s="20" t="inlineStr">
        <is>
          <t>Autoridades de defensa de la competencia</t>
        </is>
      </c>
    </row>
    <row r="252">
      <c r="A252" s="20" t="n">
        <v>25</v>
      </c>
      <c r="B252" s="20" t="inlineStr">
        <is>
          <t>Comisión Nacional de la Competencia (CNC)</t>
        </is>
      </c>
      <c r="C252" s="20" t="inlineStr">
        <is>
          <t>Organismos del mismo tema (Estado + CCAA, verificados)</t>
        </is>
      </c>
      <c r="D252" s="20" t="inlineStr">
        <is>
          <t>CF</t>
        </is>
      </c>
      <c r="E252" s="20" t="n"/>
      <c r="F252" s="20" t="n">
        <v>10</v>
      </c>
    </row>
    <row r="253">
      <c r="A253" s="20" t="n">
        <v>26</v>
      </c>
      <c r="B253" s="20" t="inlineStr">
        <is>
          <t>Comisión Nacional del Sector Postal</t>
        </is>
      </c>
      <c r="C253" s="20" t="inlineStr">
        <is>
          <t>Clasificación: útil / no útil</t>
        </is>
      </c>
      <c r="D253" s="20" t="inlineStr">
        <is>
          <t>BV</t>
        </is>
      </c>
      <c r="E253" s="20" t="n"/>
      <c r="F253" s="20" t="inlineStr">
        <is>
          <t>Extinguida</t>
        </is>
      </c>
    </row>
    <row r="254">
      <c r="A254" s="20" t="n">
        <v>26</v>
      </c>
      <c r="B254" s="20" t="inlineStr">
        <is>
          <t>Comisión Nacional del Sector Postal</t>
        </is>
      </c>
      <c r="C254" s="20" t="inlineStr">
        <is>
          <t>Clasificación: veredicto</t>
        </is>
      </c>
      <c r="D254" s="20" t="inlineStr">
        <is>
          <t>BW</t>
        </is>
      </c>
      <c r="E254" s="20" t="n"/>
      <c r="F254" s="20" t="inlineStr">
        <is>
          <t>Extinguida</t>
        </is>
      </c>
    </row>
    <row r="255">
      <c r="A255" s="20" t="n">
        <v>26</v>
      </c>
      <c r="B255" s="20" t="inlineStr">
        <is>
          <t>Comisión Nacional del Sector Postal</t>
        </is>
      </c>
      <c r="C255" s="20" t="inlineStr">
        <is>
          <t>Clasificación: función</t>
        </is>
      </c>
      <c r="D255" s="20" t="inlineStr">
        <is>
          <t>BX</t>
        </is>
      </c>
      <c r="E255" s="20" t="n"/>
      <c r="F255" s="20" t="inlineStr">
        <is>
          <t>Extinguida o no constituida</t>
        </is>
      </c>
    </row>
    <row r="256">
      <c r="A256" s="20" t="n">
        <v>26</v>
      </c>
      <c r="B256" s="20" t="inlineStr">
        <is>
          <t>Comisión Nacional del Sector Postal</t>
        </is>
      </c>
      <c r="C256" s="20" t="inlineStr">
        <is>
          <t>Clasificación: exigida por la UE</t>
        </is>
      </c>
      <c r="D256" s="20" t="inlineStr">
        <is>
          <t>BZ</t>
        </is>
      </c>
      <c r="E256" s="20" t="n"/>
      <c r="F256" s="20" t="inlineStr">
        <is>
          <t>No</t>
        </is>
      </c>
    </row>
    <row r="257">
      <c r="A257" s="20" t="n">
        <v>26</v>
      </c>
      <c r="B257" s="20" t="inlineStr">
        <is>
          <t>Comisión Nacional del Sector Postal</t>
        </is>
      </c>
      <c r="C257" s="20" t="inlineStr">
        <is>
          <t>Clasificación: actividad reciente</t>
        </is>
      </c>
      <c r="D257" s="20" t="inlineStr">
        <is>
          <t>CA</t>
        </is>
      </c>
      <c r="E257" s="20" t="n"/>
      <c r="F257" s="20" t="inlineStr">
        <is>
          <t>No aplica (no vigente)</t>
        </is>
      </c>
    </row>
    <row r="258">
      <c r="A258" s="20" t="n">
        <v>26</v>
      </c>
      <c r="B258" s="20" t="inlineStr">
        <is>
          <t>Comisión Nacional del Sector Postal</t>
        </is>
      </c>
      <c r="C258" s="20" t="inlineStr">
        <is>
          <t>Clasificación: motivo</t>
        </is>
      </c>
      <c r="D258" s="20" t="inlineStr">
        <is>
          <t>CB</t>
        </is>
      </c>
      <c r="E258" s="20" t="n"/>
      <c r="F258" s="20" t="inlineStr">
        <is>
          <t>Extinguida en 2013 al integrarse en la CNMC.</t>
        </is>
      </c>
    </row>
    <row r="259">
      <c r="A259" s="20" t="n">
        <v>26</v>
      </c>
      <c r="B259" s="20" t="inlineStr">
        <is>
          <t>Comisión Nacional del Sector Postal</t>
        </is>
      </c>
      <c r="C259" s="20" t="inlineStr">
        <is>
          <t>Tema funcional</t>
        </is>
      </c>
      <c r="D259" s="20" t="inlineStr">
        <is>
          <t>CE</t>
        </is>
      </c>
      <c r="E259" s="20" t="n"/>
      <c r="F259" s="20" t="inlineStr">
        <is>
          <t>Sector postal</t>
        </is>
      </c>
    </row>
    <row r="260">
      <c r="A260" s="20" t="n">
        <v>27</v>
      </c>
      <c r="B260" s="20" t="inlineStr">
        <is>
          <t>Agencia Española de Consumo, Seguridad Alimentaria y Nutrición (AECOSAN)</t>
        </is>
      </c>
      <c r="C260" s="20" t="inlineStr">
        <is>
          <t>Clasificación: útil / no útil</t>
        </is>
      </c>
      <c r="D260" s="20" t="inlineStr">
        <is>
          <t>BV</t>
        </is>
      </c>
      <c r="E260" s="20" t="n"/>
      <c r="F260" s="20" t="inlineStr">
        <is>
          <t>Extinguida</t>
        </is>
      </c>
    </row>
    <row r="261">
      <c r="A261" s="20" t="n">
        <v>27</v>
      </c>
      <c r="B261" s="20" t="inlineStr">
        <is>
          <t>Agencia Española de Consumo, Seguridad Alimentaria y Nutrición (AECOSAN)</t>
        </is>
      </c>
      <c r="C261" s="20" t="inlineStr">
        <is>
          <t>Clasificación: veredicto</t>
        </is>
      </c>
      <c r="D261" s="20" t="inlineStr">
        <is>
          <t>BW</t>
        </is>
      </c>
      <c r="E261" s="20" t="n"/>
      <c r="F261" s="20" t="inlineStr">
        <is>
          <t>Extinguida</t>
        </is>
      </c>
    </row>
    <row r="262">
      <c r="A262" s="20" t="n">
        <v>27</v>
      </c>
      <c r="B262" s="20" t="inlineStr">
        <is>
          <t>Agencia Española de Consumo, Seguridad Alimentaria y Nutrición (AECOSAN)</t>
        </is>
      </c>
      <c r="C262" s="20" t="inlineStr">
        <is>
          <t>Clasificación: función</t>
        </is>
      </c>
      <c r="D262" s="20" t="inlineStr">
        <is>
          <t>BX</t>
        </is>
      </c>
      <c r="E262" s="20" t="n"/>
      <c r="F262" s="20" t="inlineStr">
        <is>
          <t>Extinguida o no constituida</t>
        </is>
      </c>
    </row>
    <row r="263">
      <c r="A263" s="20" t="n">
        <v>27</v>
      </c>
      <c r="B263" s="20" t="inlineStr">
        <is>
          <t>Agencia Española de Consumo, Seguridad Alimentaria y Nutrición (AECOSAN)</t>
        </is>
      </c>
      <c r="C263" s="20" t="inlineStr">
        <is>
          <t>Clasificación: exigida por la UE</t>
        </is>
      </c>
      <c r="D263" s="20" t="inlineStr">
        <is>
          <t>BZ</t>
        </is>
      </c>
      <c r="E263" s="20" t="n"/>
      <c r="F263" s="20" t="inlineStr">
        <is>
          <t>No</t>
        </is>
      </c>
    </row>
    <row r="264">
      <c r="A264" s="20" t="n">
        <v>27</v>
      </c>
      <c r="B264" s="20" t="inlineStr">
        <is>
          <t>Agencia Española de Consumo, Seguridad Alimentaria y Nutrición (AECOSAN)</t>
        </is>
      </c>
      <c r="C264" s="20" t="inlineStr">
        <is>
          <t>Clasificación: actividad reciente</t>
        </is>
      </c>
      <c r="D264" s="20" t="inlineStr">
        <is>
          <t>CA</t>
        </is>
      </c>
      <c r="E264" s="20" t="n"/>
      <c r="F264" s="20" t="inlineStr">
        <is>
          <t>No aplica (no vigente)</t>
        </is>
      </c>
    </row>
    <row r="265">
      <c r="A265" s="20" t="n">
        <v>27</v>
      </c>
      <c r="B265" s="20" t="inlineStr">
        <is>
          <t>Agencia Española de Consumo, Seguridad Alimentaria y Nutrición (AECOSAN)</t>
        </is>
      </c>
      <c r="C265" s="20" t="inlineStr">
        <is>
          <t>Clasificación: motivo</t>
        </is>
      </c>
      <c r="D265" s="20" t="inlineStr">
        <is>
          <t>CB</t>
        </is>
      </c>
      <c r="E265" s="20" t="n"/>
      <c r="F265" s="20" t="inlineStr">
        <is>
          <t>Denominación sustituida: la función continúa en AESAN, que no se cuenta aquí.</t>
        </is>
      </c>
    </row>
    <row r="266">
      <c r="A266" s="20" t="n">
        <v>27</v>
      </c>
      <c r="B266" s="20" t="inlineStr">
        <is>
          <t>Agencia Española de Consumo, Seguridad Alimentaria y Nutrición (AECOSAN)</t>
        </is>
      </c>
      <c r="C266" s="20" t="inlineStr">
        <is>
          <t>Tema funcional</t>
        </is>
      </c>
      <c r="D266" s="20" t="inlineStr">
        <is>
          <t>CE</t>
        </is>
      </c>
      <c r="E266" s="20" t="n"/>
      <c r="F266" s="20" t="inlineStr">
        <is>
          <t>Seguridad alimentaria y consumo</t>
        </is>
      </c>
    </row>
    <row r="267">
      <c r="A267" s="20" t="n">
        <v>28</v>
      </c>
      <c r="B267" s="20" t="inlineStr">
        <is>
          <t>Agencia de Información y Control Alimentarios (AICA)</t>
        </is>
      </c>
      <c r="C267" s="20" t="inlineStr">
        <is>
          <t>Clasificación: útil / no útil</t>
        </is>
      </c>
      <c r="D267" s="20" t="inlineStr">
        <is>
          <t>BV</t>
        </is>
      </c>
      <c r="E267" s="20" t="n"/>
      <c r="F267" s="20" t="inlineStr">
        <is>
          <t>Útil</t>
        </is>
      </c>
    </row>
    <row r="268">
      <c r="A268" s="20" t="n">
        <v>28</v>
      </c>
      <c r="B268" s="20" t="inlineStr">
        <is>
          <t>Agencia de Información y Control Alimentarios (AICA)</t>
        </is>
      </c>
      <c r="C268" s="20" t="inlineStr">
        <is>
          <t>Clasificación: veredicto</t>
        </is>
      </c>
      <c r="D268" s="20" t="inlineStr">
        <is>
          <t>BW</t>
        </is>
      </c>
      <c r="E268" s="20" t="n"/>
      <c r="F268" s="20" t="inlineStr">
        <is>
          <t>Mantener</t>
        </is>
      </c>
    </row>
    <row r="269">
      <c r="A269" s="20" t="n">
        <v>28</v>
      </c>
      <c r="B269" s="20" t="inlineStr">
        <is>
          <t>Agencia de Información y Control Alimentarios (AICA)</t>
        </is>
      </c>
      <c r="C269" s="20" t="inlineStr">
        <is>
          <t>Clasificación: función</t>
        </is>
      </c>
      <c r="D269" s="20" t="inlineStr">
        <is>
          <t>BX</t>
        </is>
      </c>
      <c r="E269" s="20" t="n"/>
      <c r="F269" s="20" t="inlineStr">
        <is>
          <t>Regulación o inspección de terceros</t>
        </is>
      </c>
    </row>
    <row r="270">
      <c r="A270" s="20" t="n">
        <v>28</v>
      </c>
      <c r="B270" s="20" t="inlineStr">
        <is>
          <t>Agencia de Información y Control Alimentarios (AICA)</t>
        </is>
      </c>
      <c r="C270" s="20" t="inlineStr">
        <is>
          <t>Clasificación: exigida por la UE</t>
        </is>
      </c>
      <c r="D270" s="20" t="inlineStr">
        <is>
          <t>BZ</t>
        </is>
      </c>
      <c r="E270" s="20" t="n"/>
      <c r="F270" s="20" t="inlineStr">
        <is>
          <t>Sí: la Directiva (UE) 2019/633 exige una autoridad de control de prácticas comerciales desleales</t>
        </is>
      </c>
    </row>
    <row r="271">
      <c r="A271" s="20" t="n">
        <v>28</v>
      </c>
      <c r="B271" s="20" t="inlineStr">
        <is>
          <t>Agencia de Información y Control Alimentarios (AICA)</t>
        </is>
      </c>
      <c r="C271" s="20" t="inlineStr">
        <is>
          <t>Clasificación: actividad reciente</t>
        </is>
      </c>
      <c r="D271" s="20" t="inlineStr">
        <is>
          <t>CA</t>
        </is>
      </c>
      <c r="E271" s="20" t="n"/>
      <c r="F271" s="20" t="inlineStr">
        <is>
          <t>Acreditada</t>
        </is>
      </c>
    </row>
    <row r="272">
      <c r="A272" s="20" t="n">
        <v>28</v>
      </c>
      <c r="B272" s="20" t="inlineStr">
        <is>
          <t>Agencia de Información y Control Alimentarios (AICA)</t>
        </is>
      </c>
      <c r="C272" s="20" t="inlineStr">
        <is>
          <t>Clasificación: motivo</t>
        </is>
      </c>
      <c r="D272" s="20" t="inlineStr">
        <is>
          <t>CB</t>
        </is>
      </c>
      <c r="E272" s="20" t="n"/>
      <c r="F272" s="20" t="inlineStr">
        <is>
          <t>Inspecciona y sanciona los abusos en la cadena alimentaria: el P100 refuerza esa inspección («lo que se produce se cobra»). Exigida por la UE.</t>
        </is>
      </c>
    </row>
    <row r="273">
      <c r="A273" s="20" t="n">
        <v>28</v>
      </c>
      <c r="B273" s="20" t="inlineStr">
        <is>
          <t>Agencia de Información y Control Alimentarios (AICA)</t>
        </is>
      </c>
      <c r="C273" s="20" t="inlineStr">
        <is>
          <t>Clasificación: base en el P100</t>
        </is>
      </c>
      <c r="D273" s="20" t="inlineStr">
        <is>
          <t>CC</t>
        </is>
      </c>
      <c r="E273" s="20" t="n"/>
      <c r="F273" s="20" t="inlineStr">
        <is>
          <t>Explícito en el P100: Crecer y producir 16</t>
        </is>
      </c>
    </row>
    <row r="274">
      <c r="A274" s="20" t="n">
        <v>28</v>
      </c>
      <c r="B274" s="20" t="inlineStr">
        <is>
          <t>Agencia de Información y Control Alimentarios (AICA)</t>
        </is>
      </c>
      <c r="C274" s="20" t="inlineStr">
        <is>
          <t>Tema funcional</t>
        </is>
      </c>
      <c r="D274" s="20" t="inlineStr">
        <is>
          <t>CE</t>
        </is>
      </c>
      <c r="E274" s="20" t="n"/>
      <c r="F274" s="20" t="inlineStr">
        <is>
          <t>Cadena alimentaria</t>
        </is>
      </c>
    </row>
    <row r="275">
      <c r="A275" s="20" t="n">
        <v>29</v>
      </c>
      <c r="B275" s="20" t="inlineStr">
        <is>
          <t>Observatorio de la Cadena Alimentaria</t>
        </is>
      </c>
      <c r="C275" s="20" t="inlineStr">
        <is>
          <t>Fuentes de la ficha</t>
        </is>
      </c>
      <c r="D275" s="20" t="inlineStr">
        <is>
          <t>Z</t>
        </is>
      </c>
      <c r="E275" s="20" t="inlineStr">
        <is>
          <t>https://www.boe.es/diario_boe/txt.php?id=BOE-A-2013-8554
https://www.mapa.gob.es/es/alimentacion/temas/observatorio-cadena/funcion-estructura-normativa</t>
        </is>
      </c>
      <c r="F275" s="20" t="inlineStr">
        <is>
          <t>https://www.boe.es/diario_boe/txt.php?id=BOE-A-2013-8554
https://www.mapa.gob.es/es/alimentacion/temas/observatorio-cadena/funcion-estructura-normativa
https://www.boe.es/eli/es/rd/2015/02/06/64/con</t>
        </is>
      </c>
    </row>
    <row r="276">
      <c r="A276" s="20" t="n">
        <v>29</v>
      </c>
      <c r="B276" s="20" t="inlineStr">
        <is>
          <t>Observatorio de la Cadena Alimentaria</t>
        </is>
      </c>
      <c r="C276" s="20" t="inlineStr">
        <is>
          <t>Clasificación: útil / no útil</t>
        </is>
      </c>
      <c r="D276" s="20" t="inlineStr">
        <is>
          <t>BV</t>
        </is>
      </c>
      <c r="E276" s="20" t="n"/>
      <c r="F276" s="20" t="inlineStr">
        <is>
          <t>No útil</t>
        </is>
      </c>
    </row>
    <row r="277">
      <c r="A277" s="20" t="n">
        <v>29</v>
      </c>
      <c r="B277" s="20" t="inlineStr">
        <is>
          <t>Observatorio de la Cadena Alimentaria</t>
        </is>
      </c>
      <c r="C277" s="20" t="inlineStr">
        <is>
          <t>Clasificación: veredicto</t>
        </is>
      </c>
      <c r="D277" s="20" t="inlineStr">
        <is>
          <t>BW</t>
        </is>
      </c>
      <c r="E277" s="20" t="n"/>
      <c r="F277" s="20" t="inlineStr">
        <is>
          <t>Suprimir</t>
        </is>
      </c>
    </row>
    <row r="278">
      <c r="A278" s="20" t="n">
        <v>29</v>
      </c>
      <c r="B278" s="20" t="inlineStr">
        <is>
          <t>Observatorio de la Cadena Alimentaria</t>
        </is>
      </c>
      <c r="C278" s="20" t="inlineStr">
        <is>
          <t>Clasificación: función</t>
        </is>
      </c>
      <c r="D278" s="20" t="inlineStr">
        <is>
          <t>BX</t>
        </is>
      </c>
      <c r="E278" s="20" t="n"/>
      <c r="F278" s="20" t="inlineStr">
        <is>
          <t>Consultivo o participación</t>
        </is>
      </c>
    </row>
    <row r="279">
      <c r="A279" s="20" t="n">
        <v>29</v>
      </c>
      <c r="B279" s="20" t="inlineStr">
        <is>
          <t>Observatorio de la Cadena Alimentaria</t>
        </is>
      </c>
      <c r="C279" s="20" t="inlineStr">
        <is>
          <t>Clasificación: exigida por la UE</t>
        </is>
      </c>
      <c r="D279" s="20" t="inlineStr">
        <is>
          <t>BZ</t>
        </is>
      </c>
      <c r="E279" s="20" t="n"/>
      <c r="F279" s="20" t="inlineStr">
        <is>
          <t>No</t>
        </is>
      </c>
    </row>
    <row r="280">
      <c r="A280" s="20" t="n">
        <v>29</v>
      </c>
      <c r="B280" s="20" t="inlineStr">
        <is>
          <t>Observatorio de la Cadena Alimentaria</t>
        </is>
      </c>
      <c r="C280" s="20" t="inlineStr">
        <is>
          <t>Clasificación: actividad reciente</t>
        </is>
      </c>
      <c r="D280" s="20" t="inlineStr">
        <is>
          <t>CA</t>
        </is>
      </c>
      <c r="E280" s="20" t="n"/>
      <c r="F280" s="20" t="inlineStr">
        <is>
          <t>Acreditada</t>
        </is>
      </c>
    </row>
    <row r="281">
      <c r="A281" s="20" t="n">
        <v>29</v>
      </c>
      <c r="B281" s="20" t="inlineStr">
        <is>
          <t>Observatorio de la Cadena Alimentaria</t>
        </is>
      </c>
      <c r="C281" s="20" t="inlineStr">
        <is>
          <t>Clasificación: motivo</t>
        </is>
      </c>
      <c r="D281" s="20" t="inlineStr">
        <is>
          <t>CB</t>
        </is>
      </c>
      <c r="E281" s="20" t="n"/>
      <c r="F281" s="20" t="inlineStr">
        <is>
          <t>Observatorio, consejo o comisión: el P100 los cierra salvo que su ministerio demuestre que su trabajo cambia decisiones o mejora un servicio; publicar informes no cuenta.</t>
        </is>
      </c>
    </row>
    <row r="282">
      <c r="A282" s="20" t="n">
        <v>29</v>
      </c>
      <c r="B282" s="20" t="inlineStr">
        <is>
          <t>Observatorio de la Cadena Alimentaria</t>
        </is>
      </c>
      <c r="C282" s="20" t="inlineStr">
        <is>
          <t>Clasificación: base en el P100</t>
        </is>
      </c>
      <c r="D282" s="20" t="inlineStr">
        <is>
          <t>CC</t>
        </is>
      </c>
      <c r="E282" s="20" t="n"/>
      <c r="F282" s="20" t="inlineStr">
        <is>
          <t>Explícito en el P100: Costes del Estado 2</t>
        </is>
      </c>
    </row>
    <row r="283">
      <c r="A283" s="20" t="n">
        <v>29</v>
      </c>
      <c r="B283" s="20" t="inlineStr">
        <is>
          <t>Observatorio de la Cadena Alimentaria</t>
        </is>
      </c>
      <c r="C283" s="20" t="inlineStr">
        <is>
          <t>Clasificación: destino de sus funciones</t>
        </is>
      </c>
      <c r="D283" s="20" t="inlineStr">
        <is>
          <t>CD</t>
        </is>
      </c>
      <c r="E283" s="20" t="n"/>
      <c r="F283" s="20" t="inlineStr">
        <is>
          <t>Estructura ordinaria del ministerio, si alguna función resultara imprescindible</t>
        </is>
      </c>
    </row>
    <row r="284">
      <c r="A284" s="20" t="n">
        <v>29</v>
      </c>
      <c r="B284" s="20" t="inlineStr">
        <is>
          <t>Observatorio de la Cadena Alimentaria</t>
        </is>
      </c>
      <c r="C284" s="20" t="inlineStr">
        <is>
          <t>Tema funcional</t>
        </is>
      </c>
      <c r="D284" s="20" t="inlineStr">
        <is>
          <t>CE</t>
        </is>
      </c>
      <c r="E284" s="20" t="n"/>
      <c r="F284" s="20" t="inlineStr">
        <is>
          <t>Cadena alimentaria</t>
        </is>
      </c>
    </row>
    <row r="285">
      <c r="A285" s="20" t="n">
        <v>29</v>
      </c>
      <c r="B285" s="20" t="inlineStr">
        <is>
          <t>Observatorio de la Cadena Alimentaria</t>
        </is>
      </c>
      <c r="C285" s="20" t="inlineStr">
        <is>
          <t>Coste de apoyo (sin presupuesto propio): unidad, vocales y dietas</t>
        </is>
      </c>
      <c r="D285" s="20" t="inlineStr">
        <is>
          <t>CG</t>
        </is>
      </c>
      <c r="E285" s="20" t="n"/>
      <c r="F285" s="20" t="inlineStr">
        <is>
          <t>Apoyo: Según la norma, la secretaría es de la SG de Estructura de la Cadena Alimentaria (art. 11.1.d RD 64/2015); según la Memoria 2024, de la SG de Promoción de los Alimentos de España (DG de Alimentación, MAPA). Se financia con el presupuesto del MAPA (art. 13). vocales: 26. miembros: no retribuidos (art. 13 RD 64/2015: «ni sus miembros percibirán dietas por el ejercicio de sus funciones»).</t>
        </is>
      </c>
    </row>
    <row r="286">
      <c r="A286" s="20" t="n">
        <v>30</v>
      </c>
      <c r="B286" s="20" t="inlineStr">
        <is>
          <t>Organismo Estatal Inspección de Trabajo y Seguridad Social (OEITSS)</t>
        </is>
      </c>
      <c r="C286" s="20" t="inlineStr">
        <is>
          <t>Clasificación: útil / no útil</t>
        </is>
      </c>
      <c r="D286" s="20" t="inlineStr">
        <is>
          <t>BV</t>
        </is>
      </c>
      <c r="E286" s="20" t="n"/>
      <c r="F286" s="20" t="inlineStr">
        <is>
          <t>Útil</t>
        </is>
      </c>
    </row>
    <row r="287">
      <c r="A287" s="20" t="n">
        <v>30</v>
      </c>
      <c r="B287" s="20" t="inlineStr">
        <is>
          <t>Organismo Estatal Inspección de Trabajo y Seguridad Social (OEITSS)</t>
        </is>
      </c>
      <c r="C287" s="20" t="inlineStr">
        <is>
          <t>Clasificación: veredicto</t>
        </is>
      </c>
      <c r="D287" s="20" t="inlineStr">
        <is>
          <t>BW</t>
        </is>
      </c>
      <c r="E287" s="20" t="n"/>
      <c r="F287" s="20" t="inlineStr">
        <is>
          <t>Mantener</t>
        </is>
      </c>
    </row>
    <row r="288">
      <c r="A288" s="20" t="n">
        <v>30</v>
      </c>
      <c r="B288" s="20" t="inlineStr">
        <is>
          <t>Organismo Estatal Inspección de Trabajo y Seguridad Social (OEITSS)</t>
        </is>
      </c>
      <c r="C288" s="20" t="inlineStr">
        <is>
          <t>Clasificación: función</t>
        </is>
      </c>
      <c r="D288" s="20" t="inlineStr">
        <is>
          <t>BX</t>
        </is>
      </c>
      <c r="E288" s="20" t="n"/>
      <c r="F288" s="20" t="inlineStr">
        <is>
          <t>Regulación o inspección de terceros</t>
        </is>
      </c>
    </row>
    <row r="289">
      <c r="A289" s="20" t="n">
        <v>30</v>
      </c>
      <c r="B289" s="20" t="inlineStr">
        <is>
          <t>Organismo Estatal Inspección de Trabajo y Seguridad Social (OEITSS)</t>
        </is>
      </c>
      <c r="C289" s="20" t="inlineStr">
        <is>
          <t>Clasificación: exigida por la UE</t>
        </is>
      </c>
      <c r="D289" s="20" t="inlineStr">
        <is>
          <t>BZ</t>
        </is>
      </c>
      <c r="E289" s="20" t="n"/>
      <c r="F289" s="20" t="inlineStr">
        <is>
          <t>No</t>
        </is>
      </c>
    </row>
    <row r="290">
      <c r="A290" s="20" t="n">
        <v>30</v>
      </c>
      <c r="B290" s="20" t="inlineStr">
        <is>
          <t>Organismo Estatal Inspección de Trabajo y Seguridad Social (OEITSS)</t>
        </is>
      </c>
      <c r="C290" s="20" t="inlineStr">
        <is>
          <t>Clasificación: actividad reciente</t>
        </is>
      </c>
      <c r="D290" s="20" t="inlineStr">
        <is>
          <t>CA</t>
        </is>
      </c>
      <c r="E290" s="20" t="n"/>
      <c r="F290" s="20" t="inlineStr">
        <is>
          <t>Acreditada</t>
        </is>
      </c>
    </row>
    <row r="291">
      <c r="A291" s="20" t="n">
        <v>30</v>
      </c>
      <c r="B291" s="20" t="inlineStr">
        <is>
          <t>Organismo Estatal Inspección de Trabajo y Seguridad Social (OEITSS)</t>
        </is>
      </c>
      <c r="C291" s="20" t="inlineStr">
        <is>
          <t>Clasificación: motivo</t>
        </is>
      </c>
      <c r="D291" s="20" t="inlineStr">
        <is>
          <t>CB</t>
        </is>
      </c>
      <c r="E291" s="20" t="n"/>
      <c r="F291" s="20" t="inlineStr">
        <is>
          <t>Inspecciona el trabajo y la Seguridad Social; el P100 le encarga perseguir la contratación irregular y los falsos autónomos.</t>
        </is>
      </c>
    </row>
    <row r="292">
      <c r="A292" s="20" t="n">
        <v>30</v>
      </c>
      <c r="B292" s="20" t="inlineStr">
        <is>
          <t>Organismo Estatal Inspección de Trabajo y Seguridad Social (OEITSS)</t>
        </is>
      </c>
      <c r="C292" s="20" t="inlineStr">
        <is>
          <t>Clasificación: base en el P100</t>
        </is>
      </c>
      <c r="D292" s="20" t="inlineStr">
        <is>
          <t>CC</t>
        </is>
      </c>
      <c r="E292" s="20" t="n"/>
      <c r="F292" s="20" t="inlineStr">
        <is>
          <t>Explícito en el P100: Inmigración 4 e Impuestos 3</t>
        </is>
      </c>
    </row>
    <row r="293">
      <c r="A293" s="20" t="n">
        <v>30</v>
      </c>
      <c r="B293" s="20" t="inlineStr">
        <is>
          <t>Organismo Estatal Inspección de Trabajo y Seguridad Social (OEITSS)</t>
        </is>
      </c>
      <c r="C293" s="20" t="inlineStr">
        <is>
          <t>Tema funcional</t>
        </is>
      </c>
      <c r="D293" s="20" t="inlineStr">
        <is>
          <t>CE</t>
        </is>
      </c>
      <c r="E293" s="20" t="n"/>
      <c r="F293" s="20" t="inlineStr">
        <is>
          <t>Inspección de trabajo</t>
        </is>
      </c>
    </row>
    <row r="294">
      <c r="A294" s="20" t="n">
        <v>31</v>
      </c>
      <c r="B294" s="20" t="inlineStr">
        <is>
          <t>Agencia Española de Cooperación Internacional para el Desarrollo (AECID)</t>
        </is>
      </c>
      <c r="C294" s="20" t="inlineStr">
        <is>
          <t>Límites del juicio</t>
        </is>
      </c>
      <c r="D294" s="20" t="inlineStr">
        <is>
          <t>U</t>
        </is>
      </c>
      <c r="E294" s="20" t="inlineStr">
        <is>
          <t>No se ha verificado el número actual de puestos ocupados ni la independencia práctica de su dirección.</t>
        </is>
      </c>
      <c r="F294" s="20" t="inlineStr">
        <is>
          <t>Plantilla ocupada: ver columna de personal (EPSAP enero 2026 o fuente indicada); no se ha verificado la independencia práctica de su dirección.</t>
        </is>
      </c>
    </row>
    <row r="295">
      <c r="A295" s="20" t="n">
        <v>31</v>
      </c>
      <c r="B295" s="20" t="inlineStr">
        <is>
          <t>Agencia Española de Cooperación Internacional para el Desarrollo (AECID)</t>
        </is>
      </c>
      <c r="C295" s="20" t="inlineStr">
        <is>
          <t>Clasificación: útil / no útil</t>
        </is>
      </c>
      <c r="D295" s="20" t="inlineStr">
        <is>
          <t>BV</t>
        </is>
      </c>
      <c r="E295" s="20" t="n"/>
      <c r="F295" s="20" t="inlineStr">
        <is>
          <t>Útil</t>
        </is>
      </c>
    </row>
    <row r="296">
      <c r="A296" s="20" t="n">
        <v>31</v>
      </c>
      <c r="B296" s="20" t="inlineStr">
        <is>
          <t>Agencia Española de Cooperación Internacional para el Desarrollo (AECID)</t>
        </is>
      </c>
      <c r="C296" s="20" t="inlineStr">
        <is>
          <t>Clasificación: veredicto</t>
        </is>
      </c>
      <c r="D296" s="20" t="inlineStr">
        <is>
          <t>BW</t>
        </is>
      </c>
      <c r="E296" s="20" t="n"/>
      <c r="F296" s="20" t="inlineStr">
        <is>
          <t>Reformar</t>
        </is>
      </c>
    </row>
    <row r="297">
      <c r="A297" s="20" t="n">
        <v>31</v>
      </c>
      <c r="B297" s="20" t="inlineStr">
        <is>
          <t>Agencia Española de Cooperación Internacional para el Desarrollo (AECID)</t>
        </is>
      </c>
      <c r="C297" s="20" t="inlineStr">
        <is>
          <t>Clasificación: función</t>
        </is>
      </c>
      <c r="D297" s="20" t="inlineStr">
        <is>
          <t>BX</t>
        </is>
      </c>
      <c r="E297" s="20" t="n"/>
      <c r="F297" s="20" t="inlineStr">
        <is>
          <t>Financiación y ayudas</t>
        </is>
      </c>
    </row>
    <row r="298">
      <c r="A298" s="20" t="n">
        <v>31</v>
      </c>
      <c r="B298" s="20" t="inlineStr">
        <is>
          <t>Agencia Española de Cooperación Internacional para el Desarrollo (AECID)</t>
        </is>
      </c>
      <c r="C298" s="20" t="inlineStr">
        <is>
          <t>Clasificación: duplicidad</t>
        </is>
      </c>
      <c r="D298" s="20" t="inlineStr">
        <is>
          <t>BY</t>
        </is>
      </c>
      <c r="E298" s="20" t="n"/>
      <c r="F298" s="20" t="inlineStr">
        <is>
          <t>Organismo estatal de referencia. 5 comunidades tienen el suyo propio; 6 organismos sobre este tema entre el Estado y las CCAA (verificados).</t>
        </is>
      </c>
    </row>
    <row r="299">
      <c r="A299" s="20" t="n">
        <v>31</v>
      </c>
      <c r="B299" s="20" t="inlineStr">
        <is>
          <t>Agencia Española de Cooperación Internacional para el Desarrollo (AECID)</t>
        </is>
      </c>
      <c r="C299" s="20" t="inlineStr">
        <is>
          <t>Clasificación: exigida por la UE</t>
        </is>
      </c>
      <c r="D299" s="20" t="inlineStr">
        <is>
          <t>BZ</t>
        </is>
      </c>
      <c r="E299" s="20" t="n"/>
      <c r="F299" s="20" t="inlineStr">
        <is>
          <t>No</t>
        </is>
      </c>
    </row>
    <row r="300">
      <c r="A300" s="20" t="n">
        <v>31</v>
      </c>
      <c r="B300" s="20" t="inlineStr">
        <is>
          <t>Agencia Española de Cooperación Internacional para el Desarrollo (AECID)</t>
        </is>
      </c>
      <c r="C300" s="20" t="inlineStr">
        <is>
          <t>Clasificación: actividad reciente</t>
        </is>
      </c>
      <c r="D300" s="20" t="inlineStr">
        <is>
          <t>CA</t>
        </is>
      </c>
      <c r="E300" s="20" t="n"/>
      <c r="F300" s="20" t="inlineStr">
        <is>
          <t>Acreditada</t>
        </is>
      </c>
    </row>
    <row r="301">
      <c r="A301" s="20" t="n">
        <v>31</v>
      </c>
      <c r="B301" s="20" t="inlineStr">
        <is>
          <t>Agencia Española de Cooperación Internacional para el Desarrollo (AECID)</t>
        </is>
      </c>
      <c r="C301" s="20" t="inlineStr">
        <is>
          <t>Clasificación: motivo</t>
        </is>
      </c>
      <c r="D301" s="20" t="inlineStr">
        <is>
          <t>CB</t>
        </is>
      </c>
      <c r="E301" s="20" t="n"/>
      <c r="F301" s="20" t="inlineStr">
        <is>
          <t>Ejecuta la cooperación al desarrollo; el P100 deroga la senda del 0,7%, mantiene la ayuda humanitaria y concentra el resto en países que colaboren en el control migratorio.</t>
        </is>
      </c>
    </row>
    <row r="302">
      <c r="A302" s="20" t="n">
        <v>31</v>
      </c>
      <c r="B302" s="20" t="inlineStr">
        <is>
          <t>Agencia Española de Cooperación Internacional para el Desarrollo (AECID)</t>
        </is>
      </c>
      <c r="C302" s="20" t="inlineStr">
        <is>
          <t>Clasificación: base en el P100</t>
        </is>
      </c>
      <c r="D302" s="20" t="inlineStr">
        <is>
          <t>CC</t>
        </is>
      </c>
      <c r="E302" s="20" t="n"/>
      <c r="F302" s="20" t="inlineStr">
        <is>
          <t>Explícito en el P100: Costes del Estado 5</t>
        </is>
      </c>
    </row>
    <row r="303">
      <c r="A303" s="20" t="n">
        <v>31</v>
      </c>
      <c r="B303" s="20" t="inlineStr">
        <is>
          <t>Agencia Española de Cooperación Internacional para el Desarrollo (AECID)</t>
        </is>
      </c>
      <c r="C303" s="20" t="inlineStr">
        <is>
          <t>Tema funcional</t>
        </is>
      </c>
      <c r="D303" s="20" t="inlineStr">
        <is>
          <t>CE</t>
        </is>
      </c>
      <c r="E303" s="20" t="n"/>
      <c r="F303" s="20" t="inlineStr">
        <is>
          <t>Agencias de cooperación al desarrollo</t>
        </is>
      </c>
    </row>
    <row r="304">
      <c r="A304" s="20" t="n">
        <v>31</v>
      </c>
      <c r="B304" s="20" t="inlineStr">
        <is>
          <t>Agencia Española de Cooperación Internacional para el Desarrollo (AECID)</t>
        </is>
      </c>
      <c r="C304" s="20" t="inlineStr">
        <is>
          <t>Organismos del mismo tema (Estado + CCAA, verificados)</t>
        </is>
      </c>
      <c r="D304" s="20" t="inlineStr">
        <is>
          <t>CF</t>
        </is>
      </c>
      <c r="E304" s="20" t="n"/>
      <c r="F304" s="20" t="n">
        <v>6</v>
      </c>
    </row>
    <row r="305">
      <c r="A305" s="20" t="n">
        <v>32</v>
      </c>
      <c r="B305" s="20" t="inlineStr">
        <is>
          <t>Agencia Estatal Boletín Oficial del Estado</t>
        </is>
      </c>
      <c r="C305" s="20" t="inlineStr">
        <is>
          <t>Clasificación: útil / no útil</t>
        </is>
      </c>
      <c r="D305" s="20" t="inlineStr">
        <is>
          <t>BV</t>
        </is>
      </c>
      <c r="E305" s="20" t="n"/>
      <c r="F305" s="20" t="inlineStr">
        <is>
          <t>Útil</t>
        </is>
      </c>
    </row>
    <row r="306">
      <c r="A306" s="20" t="n">
        <v>32</v>
      </c>
      <c r="B306" s="20" t="inlineStr">
        <is>
          <t>Agencia Estatal Boletín Oficial del Estado</t>
        </is>
      </c>
      <c r="C306" s="20" t="inlineStr">
        <is>
          <t>Clasificación: veredicto</t>
        </is>
      </c>
      <c r="D306" s="20" t="inlineStr">
        <is>
          <t>BW</t>
        </is>
      </c>
      <c r="E306" s="20" t="n"/>
      <c r="F306" s="20" t="inlineStr">
        <is>
          <t>Mantener</t>
        </is>
      </c>
    </row>
    <row r="307">
      <c r="A307" s="20" t="n">
        <v>32</v>
      </c>
      <c r="B307" s="20" t="inlineStr">
        <is>
          <t>Agencia Estatal Boletín Oficial del Estado</t>
        </is>
      </c>
      <c r="C307" s="20" t="inlineStr">
        <is>
          <t>Clasificación: función</t>
        </is>
      </c>
      <c r="D307" s="20" t="inlineStr">
        <is>
          <t>BX</t>
        </is>
      </c>
      <c r="E307" s="20" t="n"/>
      <c r="F307" s="20" t="inlineStr">
        <is>
          <t>Servicio público directo</t>
        </is>
      </c>
    </row>
    <row r="308">
      <c r="A308" s="20" t="n">
        <v>32</v>
      </c>
      <c r="B308" s="20" t="inlineStr">
        <is>
          <t>Agencia Estatal Boletín Oficial del Estado</t>
        </is>
      </c>
      <c r="C308" s="20" t="inlineStr">
        <is>
          <t>Clasificación: exigida por la UE</t>
        </is>
      </c>
      <c r="D308" s="20" t="inlineStr">
        <is>
          <t>BZ</t>
        </is>
      </c>
      <c r="E308" s="20" t="n"/>
      <c r="F308" s="20" t="inlineStr">
        <is>
          <t>No</t>
        </is>
      </c>
    </row>
    <row r="309">
      <c r="A309" s="20" t="n">
        <v>32</v>
      </c>
      <c r="B309" s="20" t="inlineStr">
        <is>
          <t>Agencia Estatal Boletín Oficial del Estado</t>
        </is>
      </c>
      <c r="C309" s="20" t="inlineStr">
        <is>
          <t>Clasificación: actividad reciente</t>
        </is>
      </c>
      <c r="D309" s="20" t="inlineStr">
        <is>
          <t>CA</t>
        </is>
      </c>
      <c r="E309" s="20" t="n"/>
      <c r="F309" s="20" t="inlineStr">
        <is>
          <t>Acreditada</t>
        </is>
      </c>
    </row>
    <row r="310">
      <c r="A310" s="20" t="n">
        <v>32</v>
      </c>
      <c r="B310" s="20" t="inlineStr">
        <is>
          <t>Agencia Estatal Boletín Oficial del Estado</t>
        </is>
      </c>
      <c r="C310" s="20" t="inlineStr">
        <is>
          <t>Clasificación: motivo</t>
        </is>
      </c>
      <c r="D310" s="20" t="inlineStr">
        <is>
          <t>CB</t>
        </is>
      </c>
      <c r="E310" s="20" t="n"/>
      <c r="F310" s="20" t="inlineStr">
        <is>
          <t>Publica el BOE; se financia en buena parte con sus propios ingresos.</t>
        </is>
      </c>
    </row>
    <row r="311">
      <c r="A311" s="20" t="n">
        <v>32</v>
      </c>
      <c r="B311" s="20" t="inlineStr">
        <is>
          <t>Agencia Estatal Boletín Oficial del Estado</t>
        </is>
      </c>
      <c r="C311" s="20" t="inlineStr">
        <is>
          <t>Clasificación: base en el P100</t>
        </is>
      </c>
      <c r="D311" s="20" t="inlineStr">
        <is>
          <t>CC</t>
        </is>
      </c>
      <c r="E311" s="20" t="n"/>
      <c r="F311" s="20" t="inlineStr">
        <is>
          <t>Aplicando el criterio del P100: Servicio directo</t>
        </is>
      </c>
    </row>
    <row r="312">
      <c r="A312" s="20" t="n">
        <v>32</v>
      </c>
      <c r="B312" s="20" t="inlineStr">
        <is>
          <t>Agencia Estatal Boletín Oficial del Estado</t>
        </is>
      </c>
      <c r="C312" s="20" t="inlineStr">
        <is>
          <t>Tema funcional</t>
        </is>
      </c>
      <c r="D312" s="20" t="inlineStr">
        <is>
          <t>CE</t>
        </is>
      </c>
      <c r="E312" s="20" t="n"/>
      <c r="F312" s="20" t="inlineStr">
        <is>
          <t>Diario oficial</t>
        </is>
      </c>
    </row>
    <row r="313">
      <c r="A313" s="20" t="n">
        <v>33</v>
      </c>
      <c r="B313" s="20" t="inlineStr">
        <is>
          <t>Agencia Estatal Consejo Superior de Investigaciones Científicas (CSIC)</t>
        </is>
      </c>
      <c r="C313" s="20" t="inlineStr">
        <is>
          <t>Clasificación: útil / no útil</t>
        </is>
      </c>
      <c r="D313" s="20" t="inlineStr">
        <is>
          <t>BV</t>
        </is>
      </c>
      <c r="E313" s="20" t="n"/>
      <c r="F313" s="20" t="inlineStr">
        <is>
          <t>Útil</t>
        </is>
      </c>
    </row>
    <row r="314">
      <c r="A314" s="20" t="n">
        <v>33</v>
      </c>
      <c r="B314" s="20" t="inlineStr">
        <is>
          <t>Agencia Estatal Consejo Superior de Investigaciones Científicas (CSIC)</t>
        </is>
      </c>
      <c r="C314" s="20" t="inlineStr">
        <is>
          <t>Clasificación: veredicto</t>
        </is>
      </c>
      <c r="D314" s="20" t="inlineStr">
        <is>
          <t>BW</t>
        </is>
      </c>
      <c r="E314" s="20" t="n"/>
      <c r="F314" s="20" t="inlineStr">
        <is>
          <t>Mantener</t>
        </is>
      </c>
    </row>
    <row r="315">
      <c r="A315" s="20" t="n">
        <v>33</v>
      </c>
      <c r="B315" s="20" t="inlineStr">
        <is>
          <t>Agencia Estatal Consejo Superior de Investigaciones Científicas (CSIC)</t>
        </is>
      </c>
      <c r="C315" s="20" t="inlineStr">
        <is>
          <t>Clasificación: función</t>
        </is>
      </c>
      <c r="D315" s="20" t="inlineStr">
        <is>
          <t>BX</t>
        </is>
      </c>
      <c r="E315" s="20" t="n"/>
      <c r="F315" s="20" t="inlineStr">
        <is>
          <t>Servicio público directo</t>
        </is>
      </c>
    </row>
    <row r="316">
      <c r="A316" s="20" t="n">
        <v>33</v>
      </c>
      <c r="B316" s="20" t="inlineStr">
        <is>
          <t>Agencia Estatal Consejo Superior de Investigaciones Científicas (CSIC)</t>
        </is>
      </c>
      <c r="C316" s="20" t="inlineStr">
        <is>
          <t>Clasificación: exigida por la UE</t>
        </is>
      </c>
      <c r="D316" s="20" t="inlineStr">
        <is>
          <t>BZ</t>
        </is>
      </c>
      <c r="E316" s="20" t="n"/>
      <c r="F316" s="20" t="inlineStr">
        <is>
          <t>No</t>
        </is>
      </c>
    </row>
    <row r="317">
      <c r="A317" s="20" t="n">
        <v>33</v>
      </c>
      <c r="B317" s="20" t="inlineStr">
        <is>
          <t>Agencia Estatal Consejo Superior de Investigaciones Científicas (CSIC)</t>
        </is>
      </c>
      <c r="C317" s="20" t="inlineStr">
        <is>
          <t>Clasificación: actividad reciente</t>
        </is>
      </c>
      <c r="D317" s="20" t="inlineStr">
        <is>
          <t>CA</t>
        </is>
      </c>
      <c r="E317" s="20" t="n"/>
      <c r="F317" s="20" t="inlineStr">
        <is>
          <t>Acreditada</t>
        </is>
      </c>
    </row>
    <row r="318">
      <c r="A318" s="20" t="n">
        <v>33</v>
      </c>
      <c r="B318" s="20" t="inlineStr">
        <is>
          <t>Agencia Estatal Consejo Superior de Investigaciones Científicas (CSIC)</t>
        </is>
      </c>
      <c r="C318" s="20" t="inlineStr">
        <is>
          <t>Clasificación: motivo</t>
        </is>
      </c>
      <c r="D318" s="20" t="inlineStr">
        <is>
          <t>CB</t>
        </is>
      </c>
      <c r="E318" s="20" t="n"/>
      <c r="F318" s="20" t="inlineStr">
        <is>
          <t>Investiga: unas 7.500 personas de su plantilla son científicos y otras 7.750 técnicos.</t>
        </is>
      </c>
    </row>
    <row r="319">
      <c r="A319" s="20" t="n">
        <v>33</v>
      </c>
      <c r="B319" s="20" t="inlineStr">
        <is>
          <t>Agencia Estatal Consejo Superior de Investigaciones Científicas (CSIC)</t>
        </is>
      </c>
      <c r="C319" s="20" t="inlineStr">
        <is>
          <t>Clasificación: base en el P100</t>
        </is>
      </c>
      <c r="D319" s="20" t="inlineStr">
        <is>
          <t>CC</t>
        </is>
      </c>
      <c r="E319" s="20" t="n"/>
      <c r="F319" s="20" t="inlineStr">
        <is>
          <t>Aplicando el criterio del P100: Servicio directo</t>
        </is>
      </c>
    </row>
    <row r="320">
      <c r="A320" s="20" t="n">
        <v>33</v>
      </c>
      <c r="B320" s="20" t="inlineStr">
        <is>
          <t>Agencia Estatal Consejo Superior de Investigaciones Científicas (CSIC)</t>
        </is>
      </c>
      <c r="C320" s="20" t="inlineStr">
        <is>
          <t>Tema funcional</t>
        </is>
      </c>
      <c r="D320" s="20" t="inlineStr">
        <is>
          <t>CE</t>
        </is>
      </c>
      <c r="E320" s="20" t="n"/>
      <c r="F320" s="20" t="inlineStr">
        <is>
          <t>Investigación científica</t>
        </is>
      </c>
    </row>
    <row r="321">
      <c r="A321" s="20" t="n">
        <v>34</v>
      </c>
      <c r="B321" s="20" t="inlineStr">
        <is>
          <t>Agencia Estatal de Meteorología (AEMET)</t>
        </is>
      </c>
      <c r="C321" s="20" t="inlineStr">
        <is>
          <t>Clasificación: útil / no útil</t>
        </is>
      </c>
      <c r="D321" s="20" t="inlineStr">
        <is>
          <t>BV</t>
        </is>
      </c>
      <c r="E321" s="20" t="n"/>
      <c r="F321" s="20" t="inlineStr">
        <is>
          <t>Útil</t>
        </is>
      </c>
    </row>
    <row r="322">
      <c r="A322" s="20" t="n">
        <v>34</v>
      </c>
      <c r="B322" s="20" t="inlineStr">
        <is>
          <t>Agencia Estatal de Meteorología (AEMET)</t>
        </is>
      </c>
      <c r="C322" s="20" t="inlineStr">
        <is>
          <t>Clasificación: veredicto</t>
        </is>
      </c>
      <c r="D322" s="20" t="inlineStr">
        <is>
          <t>BW</t>
        </is>
      </c>
      <c r="E322" s="20" t="n"/>
      <c r="F322" s="20" t="inlineStr">
        <is>
          <t>Mantener</t>
        </is>
      </c>
    </row>
    <row r="323">
      <c r="A323" s="20" t="n">
        <v>34</v>
      </c>
      <c r="B323" s="20" t="inlineStr">
        <is>
          <t>Agencia Estatal de Meteorología (AEMET)</t>
        </is>
      </c>
      <c r="C323" s="20" t="inlineStr">
        <is>
          <t>Clasificación: función</t>
        </is>
      </c>
      <c r="D323" s="20" t="inlineStr">
        <is>
          <t>BX</t>
        </is>
      </c>
      <c r="E323" s="20" t="n"/>
      <c r="F323" s="20" t="inlineStr">
        <is>
          <t>Servicio público directo</t>
        </is>
      </c>
    </row>
    <row r="324">
      <c r="A324" s="20" t="n">
        <v>34</v>
      </c>
      <c r="B324" s="20" t="inlineStr">
        <is>
          <t>Agencia Estatal de Meteorología (AEMET)</t>
        </is>
      </c>
      <c r="C324" s="20" t="inlineStr">
        <is>
          <t>Clasificación: exigida por la UE</t>
        </is>
      </c>
      <c r="D324" s="20" t="inlineStr">
        <is>
          <t>BZ</t>
        </is>
      </c>
      <c r="E324" s="20" t="n"/>
      <c r="F324" s="20" t="inlineStr">
        <is>
          <t>No</t>
        </is>
      </c>
    </row>
    <row r="325">
      <c r="A325" s="20" t="n">
        <v>34</v>
      </c>
      <c r="B325" s="20" t="inlineStr">
        <is>
          <t>Agencia Estatal de Meteorología (AEMET)</t>
        </is>
      </c>
      <c r="C325" s="20" t="inlineStr">
        <is>
          <t>Clasificación: actividad reciente</t>
        </is>
      </c>
      <c r="D325" s="20" t="inlineStr">
        <is>
          <t>CA</t>
        </is>
      </c>
      <c r="E325" s="20" t="n"/>
      <c r="F325" s="20" t="inlineStr">
        <is>
          <t>Acreditada</t>
        </is>
      </c>
    </row>
    <row r="326">
      <c r="A326" s="20" t="n">
        <v>34</v>
      </c>
      <c r="B326" s="20" t="inlineStr">
        <is>
          <t>Agencia Estatal de Meteorología (AEMET)</t>
        </is>
      </c>
      <c r="C326" s="20" t="inlineStr">
        <is>
          <t>Clasificación: motivo</t>
        </is>
      </c>
      <c r="D326" s="20" t="inlineStr">
        <is>
          <t>CB</t>
        </is>
      </c>
      <c r="E326" s="20" t="n"/>
      <c r="F326" s="20" t="inlineStr">
        <is>
          <t>Predicción meteorológica y avisos; nadie más los presta.</t>
        </is>
      </c>
    </row>
    <row r="327">
      <c r="A327" s="20" t="n">
        <v>34</v>
      </c>
      <c r="B327" s="20" t="inlineStr">
        <is>
          <t>Agencia Estatal de Meteorología (AEMET)</t>
        </is>
      </c>
      <c r="C327" s="20" t="inlineStr">
        <is>
          <t>Clasificación: base en el P100</t>
        </is>
      </c>
      <c r="D327" s="20" t="inlineStr">
        <is>
          <t>CC</t>
        </is>
      </c>
      <c r="E327" s="20" t="n"/>
      <c r="F327" s="20" t="inlineStr">
        <is>
          <t>Aplicando el criterio del P100: Servicio directo</t>
        </is>
      </c>
    </row>
    <row r="328">
      <c r="A328" s="20" t="n">
        <v>34</v>
      </c>
      <c r="B328" s="20" t="inlineStr">
        <is>
          <t>Agencia Estatal de Meteorología (AEMET)</t>
        </is>
      </c>
      <c r="C328" s="20" t="inlineStr">
        <is>
          <t>Tema funcional</t>
        </is>
      </c>
      <c r="D328" s="20" t="inlineStr">
        <is>
          <t>CE</t>
        </is>
      </c>
      <c r="E328" s="20" t="n"/>
      <c r="F328" s="20" t="inlineStr">
        <is>
          <t>Meteorología</t>
        </is>
      </c>
    </row>
    <row r="329">
      <c r="A329" s="20" t="n">
        <v>35</v>
      </c>
      <c r="B329" s="20" t="inlineStr">
        <is>
          <t>Agencia estatal Agencia Española de Medicamentos y Productos Sanitarios (AEMPS)</t>
        </is>
      </c>
      <c r="C329" s="20" t="inlineStr">
        <is>
          <t>Clasificación: útil / no útil</t>
        </is>
      </c>
      <c r="D329" s="20" t="inlineStr">
        <is>
          <t>BV</t>
        </is>
      </c>
      <c r="E329" s="20" t="n"/>
      <c r="F329" s="20" t="inlineStr">
        <is>
          <t>Útil</t>
        </is>
      </c>
    </row>
    <row r="330">
      <c r="A330" s="20" t="n">
        <v>35</v>
      </c>
      <c r="B330" s="20" t="inlineStr">
        <is>
          <t>Agencia estatal Agencia Española de Medicamentos y Productos Sanitarios (AEMPS)</t>
        </is>
      </c>
      <c r="C330" s="20" t="inlineStr">
        <is>
          <t>Clasificación: veredicto</t>
        </is>
      </c>
      <c r="D330" s="20" t="inlineStr">
        <is>
          <t>BW</t>
        </is>
      </c>
      <c r="E330" s="20" t="n"/>
      <c r="F330" s="20" t="inlineStr">
        <is>
          <t>Mantener</t>
        </is>
      </c>
    </row>
    <row r="331">
      <c r="A331" s="20" t="n">
        <v>35</v>
      </c>
      <c r="B331" s="20" t="inlineStr">
        <is>
          <t>Agencia estatal Agencia Española de Medicamentos y Productos Sanitarios (AEMPS)</t>
        </is>
      </c>
      <c r="C331" s="20" t="inlineStr">
        <is>
          <t>Clasificación: función</t>
        </is>
      </c>
      <c r="D331" s="20" t="inlineStr">
        <is>
          <t>BX</t>
        </is>
      </c>
      <c r="E331" s="20" t="n"/>
      <c r="F331" s="20" t="inlineStr">
        <is>
          <t>Regulación o inspección de terceros</t>
        </is>
      </c>
    </row>
    <row r="332">
      <c r="A332" s="20" t="n">
        <v>35</v>
      </c>
      <c r="B332" s="20" t="inlineStr">
        <is>
          <t>Agencia estatal Agencia Española de Medicamentos y Productos Sanitarios (AEMPS)</t>
        </is>
      </c>
      <c r="C332" s="20" t="inlineStr">
        <is>
          <t>Clasificación: exigida por la UE</t>
        </is>
      </c>
      <c r="D332" s="20" t="inlineStr">
        <is>
          <t>BZ</t>
        </is>
      </c>
      <c r="E332" s="20" t="n"/>
      <c r="F332" s="20" t="inlineStr">
        <is>
          <t>Sí: la normativa farmacéutica de la UE exige una autoridad nacional competente</t>
        </is>
      </c>
    </row>
    <row r="333">
      <c r="A333" s="20" t="n">
        <v>35</v>
      </c>
      <c r="B333" s="20" t="inlineStr">
        <is>
          <t>Agencia estatal Agencia Española de Medicamentos y Productos Sanitarios (AEMPS)</t>
        </is>
      </c>
      <c r="C333" s="20" t="inlineStr">
        <is>
          <t>Clasificación: actividad reciente</t>
        </is>
      </c>
      <c r="D333" s="20" t="inlineStr">
        <is>
          <t>CA</t>
        </is>
      </c>
      <c r="E333" s="20" t="n"/>
      <c r="F333" s="20" t="inlineStr">
        <is>
          <t>Acreditada</t>
        </is>
      </c>
    </row>
    <row r="334">
      <c r="A334" s="20" t="n">
        <v>35</v>
      </c>
      <c r="B334" s="20" t="inlineStr">
        <is>
          <t>Agencia estatal Agencia Española de Medicamentos y Productos Sanitarios (AEMPS)</t>
        </is>
      </c>
      <c r="C334" s="20" t="inlineStr">
        <is>
          <t>Clasificación: motivo</t>
        </is>
      </c>
      <c r="D334" s="20" t="inlineStr">
        <is>
          <t>CB</t>
        </is>
      </c>
      <c r="E334" s="20" t="n"/>
      <c r="F334" s="20" t="inlineStr">
        <is>
          <t>Autoriza e inspecciona medicamentos y productos sanitarios.</t>
        </is>
      </c>
    </row>
    <row r="335">
      <c r="A335" s="20" t="n">
        <v>35</v>
      </c>
      <c r="B335" s="20" t="inlineStr">
        <is>
          <t>Agencia estatal Agencia Española de Medicamentos y Productos Sanitarios (AEMPS)</t>
        </is>
      </c>
      <c r="C335" s="20" t="inlineStr">
        <is>
          <t>Clasificación: base en el P100</t>
        </is>
      </c>
      <c r="D335" s="20" t="inlineStr">
        <is>
          <t>CC</t>
        </is>
      </c>
      <c r="E335" s="20" t="n"/>
      <c r="F335" s="20" t="inlineStr">
        <is>
          <t>Aplicando el criterio del P100: Costes del Estado 9 (función técnica; exigida por la UE)</t>
        </is>
      </c>
    </row>
    <row r="336">
      <c r="A336" s="20" t="n">
        <v>35</v>
      </c>
      <c r="B336" s="20" t="inlineStr">
        <is>
          <t>Agencia estatal Agencia Española de Medicamentos y Productos Sanitarios (AEMPS)</t>
        </is>
      </c>
      <c r="C336" s="20" t="inlineStr">
        <is>
          <t>Tema funcional</t>
        </is>
      </c>
      <c r="D336" s="20" t="inlineStr">
        <is>
          <t>CE</t>
        </is>
      </c>
      <c r="E336" s="20" t="n"/>
      <c r="F336" s="20" t="inlineStr">
        <is>
          <t>Medicamentos</t>
        </is>
      </c>
    </row>
    <row r="337">
      <c r="A337" s="20" t="n">
        <v>36</v>
      </c>
      <c r="B337" s="20" t="inlineStr">
        <is>
          <t>Instituto de Vivienda, Infraestructura y Equipamiento de la Defensa (INVIED)</t>
        </is>
      </c>
      <c r="C337" s="20" t="inlineStr">
        <is>
          <t>Límites del juicio</t>
        </is>
      </c>
      <c r="D337" s="20" t="inlineStr">
        <is>
          <t>U</t>
        </is>
      </c>
      <c r="E337" s="20" t="inlineStr">
        <is>
          <t>No se ha verificado el número actual de puestos ocupados ni la independencia práctica de su dirección.</t>
        </is>
      </c>
      <c r="F337" s="20" t="inlineStr">
        <is>
          <t>Plantilla ocupada: ver columna de personal (EPSAP enero 2026 o fuente indicada); no se ha verificado la independencia práctica de su dirección.</t>
        </is>
      </c>
    </row>
    <row r="338">
      <c r="A338" s="20" t="n">
        <v>36</v>
      </c>
      <c r="B338" s="20" t="inlineStr">
        <is>
          <t>Instituto de Vivienda, Infraestructura y Equipamiento de la Defensa (INVIED)</t>
        </is>
      </c>
      <c r="C338" s="20" t="inlineStr">
        <is>
          <t>Clasificación: útil / no útil</t>
        </is>
      </c>
      <c r="D338" s="20" t="inlineStr">
        <is>
          <t>BV</t>
        </is>
      </c>
      <c r="E338" s="20" t="n"/>
      <c r="F338" s="20" t="inlineStr">
        <is>
          <t>Útil</t>
        </is>
      </c>
    </row>
    <row r="339">
      <c r="A339" s="20" t="n">
        <v>36</v>
      </c>
      <c r="B339" s="20" t="inlineStr">
        <is>
          <t>Instituto de Vivienda, Infraestructura y Equipamiento de la Defensa (INVIED)</t>
        </is>
      </c>
      <c r="C339" s="20" t="inlineStr">
        <is>
          <t>Clasificación: veredicto</t>
        </is>
      </c>
      <c r="D339" s="20" t="inlineStr">
        <is>
          <t>BW</t>
        </is>
      </c>
      <c r="E339" s="20" t="n"/>
      <c r="F339" s="20" t="inlineStr">
        <is>
          <t>Reformar</t>
        </is>
      </c>
    </row>
    <row r="340">
      <c r="A340" s="20" t="n">
        <v>36</v>
      </c>
      <c r="B340" s="20" t="inlineStr">
        <is>
          <t>Instituto de Vivienda, Infraestructura y Equipamiento de la Defensa (INVIED)</t>
        </is>
      </c>
      <c r="C340" s="20" t="inlineStr">
        <is>
          <t>Clasificación: función</t>
        </is>
      </c>
      <c r="D340" s="20" t="inlineStr">
        <is>
          <t>BX</t>
        </is>
      </c>
      <c r="E340" s="20" t="n"/>
      <c r="F340" s="20" t="inlineStr">
        <is>
          <t>Servicio público directo</t>
        </is>
      </c>
    </row>
    <row r="341">
      <c r="A341" s="20" t="n">
        <v>36</v>
      </c>
      <c r="B341" s="20" t="inlineStr">
        <is>
          <t>Instituto de Vivienda, Infraestructura y Equipamiento de la Defensa (INVIED)</t>
        </is>
      </c>
      <c r="C341" s="20" t="inlineStr">
        <is>
          <t>Clasificación: exigida por la UE</t>
        </is>
      </c>
      <c r="D341" s="20" t="inlineStr">
        <is>
          <t>BZ</t>
        </is>
      </c>
      <c r="E341" s="20" t="n"/>
      <c r="F341" s="20" t="inlineStr">
        <is>
          <t>No</t>
        </is>
      </c>
    </row>
    <row r="342">
      <c r="A342" s="20" t="n">
        <v>36</v>
      </c>
      <c r="B342" s="20" t="inlineStr">
        <is>
          <t>Instituto de Vivienda, Infraestructura y Equipamiento de la Defensa (INVIED)</t>
        </is>
      </c>
      <c r="C342" s="20" t="inlineStr">
        <is>
          <t>Clasificación: actividad reciente</t>
        </is>
      </c>
      <c r="D342" s="20" t="inlineStr">
        <is>
          <t>CA</t>
        </is>
      </c>
      <c r="E342" s="20" t="n"/>
      <c r="F342" s="20" t="inlineStr">
        <is>
          <t>Acreditada</t>
        </is>
      </c>
    </row>
    <row r="343">
      <c r="A343" s="20" t="n">
        <v>36</v>
      </c>
      <c r="B343" s="20" t="inlineStr">
        <is>
          <t>Instituto de Vivienda, Infraestructura y Equipamiento de la Defensa (INVIED)</t>
        </is>
      </c>
      <c r="C343" s="20" t="inlineStr">
        <is>
          <t>Clasificación: motivo</t>
        </is>
      </c>
      <c r="D343" s="20" t="inlineStr">
        <is>
          <t>CB</t>
        </is>
      </c>
      <c r="E343" s="20" t="n"/>
      <c r="F343" s="20" t="inlineStr">
        <is>
          <t>Gestiona viviendas e inmuebles de Defensa; el P100 obliga a inventariar sus suelos y a vender o ceder lo que no tenga uso.</t>
        </is>
      </c>
    </row>
    <row r="344">
      <c r="A344" s="20" t="n">
        <v>36</v>
      </c>
      <c r="B344" s="20" t="inlineStr">
        <is>
          <t>Instituto de Vivienda, Infraestructura y Equipamiento de la Defensa (INVIED)</t>
        </is>
      </c>
      <c r="C344" s="20" t="inlineStr">
        <is>
          <t>Clasificación: base en el P100</t>
        </is>
      </c>
      <c r="D344" s="20" t="inlineStr">
        <is>
          <t>CC</t>
        </is>
      </c>
      <c r="E344" s="20" t="n"/>
      <c r="F344" s="20" t="inlineStr">
        <is>
          <t>Explícito en el P100: Costes del Estado 10</t>
        </is>
      </c>
    </row>
    <row r="345">
      <c r="A345" s="20" t="n">
        <v>36</v>
      </c>
      <c r="B345" s="20" t="inlineStr">
        <is>
          <t>Instituto de Vivienda, Infraestructura y Equipamiento de la Defensa (INVIED)</t>
        </is>
      </c>
      <c r="C345" s="20" t="inlineStr">
        <is>
          <t>Tema funcional</t>
        </is>
      </c>
      <c r="D345" s="20" t="inlineStr">
        <is>
          <t>CE</t>
        </is>
      </c>
      <c r="E345" s="20" t="n"/>
      <c r="F345" s="20" t="inlineStr">
        <is>
          <t>Vivienda e infraestructura de Defensa</t>
        </is>
      </c>
    </row>
    <row r="346">
      <c r="A346" s="20" t="n">
        <v>37</v>
      </c>
      <c r="B346" s="20" t="inlineStr">
        <is>
          <t>Confederación Hidrográfica del Miño-Sil</t>
        </is>
      </c>
      <c r="C346" s="20" t="inlineStr">
        <is>
          <t>Clasificación: útil / no útil</t>
        </is>
      </c>
      <c r="D346" s="20" t="inlineStr">
        <is>
          <t>BV</t>
        </is>
      </c>
      <c r="E346" s="20" t="n"/>
      <c r="F346" s="20" t="inlineStr">
        <is>
          <t>Útil</t>
        </is>
      </c>
    </row>
    <row r="347">
      <c r="A347" s="20" t="n">
        <v>37</v>
      </c>
      <c r="B347" s="20" t="inlineStr">
        <is>
          <t>Confederación Hidrográfica del Miño-Sil</t>
        </is>
      </c>
      <c r="C347" s="20" t="inlineStr">
        <is>
          <t>Clasificación: veredicto</t>
        </is>
      </c>
      <c r="D347" s="20" t="inlineStr">
        <is>
          <t>BW</t>
        </is>
      </c>
      <c r="E347" s="20" t="n"/>
      <c r="F347" s="20" t="inlineStr">
        <is>
          <t>Mantener</t>
        </is>
      </c>
    </row>
    <row r="348">
      <c r="A348" s="20" t="n">
        <v>37</v>
      </c>
      <c r="B348" s="20" t="inlineStr">
        <is>
          <t>Confederación Hidrográfica del Miño-Sil</t>
        </is>
      </c>
      <c r="C348" s="20" t="inlineStr">
        <is>
          <t>Clasificación: función</t>
        </is>
      </c>
      <c r="D348" s="20" t="inlineStr">
        <is>
          <t>BX</t>
        </is>
      </c>
      <c r="E348" s="20" t="n"/>
      <c r="F348" s="20" t="inlineStr">
        <is>
          <t>Regulación o inspección de terceros</t>
        </is>
      </c>
    </row>
    <row r="349">
      <c r="A349" s="20" t="n">
        <v>37</v>
      </c>
      <c r="B349" s="20" t="inlineStr">
        <is>
          <t>Confederación Hidrográfica del Miño-Sil</t>
        </is>
      </c>
      <c r="C349" s="20" t="inlineStr">
        <is>
          <t>Clasificación: exigida por la UE</t>
        </is>
      </c>
      <c r="D349" s="20" t="inlineStr">
        <is>
          <t>BZ</t>
        </is>
      </c>
      <c r="E349" s="20" t="n"/>
      <c r="F349" s="20" t="inlineStr">
        <is>
          <t>No</t>
        </is>
      </c>
    </row>
    <row r="350">
      <c r="A350" s="20" t="n">
        <v>37</v>
      </c>
      <c r="B350" s="20" t="inlineStr">
        <is>
          <t>Confederación Hidrográfica del Miño-Sil</t>
        </is>
      </c>
      <c r="C350" s="20" t="inlineStr">
        <is>
          <t>Clasificación: actividad reciente</t>
        </is>
      </c>
      <c r="D350" s="20" t="inlineStr">
        <is>
          <t>CA</t>
        </is>
      </c>
      <c r="E350" s="20" t="n"/>
      <c r="F350" s="20" t="inlineStr">
        <is>
          <t>Acreditada</t>
        </is>
      </c>
    </row>
    <row r="351">
      <c r="A351" s="20" t="n">
        <v>37</v>
      </c>
      <c r="B351" s="20" t="inlineStr">
        <is>
          <t>Confederación Hidrográfica del Miño-Sil</t>
        </is>
      </c>
      <c r="C351" s="20" t="inlineStr">
        <is>
          <t>Clasificación: motivo</t>
        </is>
      </c>
      <c r="D351" s="20" t="inlineStr">
        <is>
          <t>CB</t>
        </is>
      </c>
      <c r="E351" s="20" t="n"/>
      <c r="F351" s="20" t="inlineStr">
        <is>
          <t>Confederación hidrográfica: organismo autónomo de la AGE con personalidad propia, adscrito al ministerio de Medio Ambiente; gestiona la cuenca como pieza estatal, no una duplicidad autonómica. El inventario solo recoge Miño-Sil y Cantábrico (creadas/transformadas en el periodo); Ebro, Tajo, Duero, Guadalquivir, etc. no están en las 125 fichas. El P100 «Menos normas 12» limita el bloqueo de informes; no implica integrar ni suprimir la confederación.</t>
        </is>
      </c>
    </row>
    <row r="352">
      <c r="A352" s="20" t="n">
        <v>37</v>
      </c>
      <c r="B352" s="20" t="inlineStr">
        <is>
          <t>Confederación Hidrográfica del Miño-Sil</t>
        </is>
      </c>
      <c r="C352" s="20" t="inlineStr">
        <is>
          <t>Clasificación: base en el P100</t>
        </is>
      </c>
      <c r="D352" s="20" t="inlineStr">
        <is>
          <t>CC</t>
        </is>
      </c>
      <c r="E352" s="20" t="n"/>
      <c r="F352" s="20" t="inlineStr">
        <is>
          <t>Aplicando el criterio del P100: Servicio directo (organismo autónomo estatal de cuenca)</t>
        </is>
      </c>
    </row>
    <row r="353">
      <c r="A353" s="20" t="n">
        <v>37</v>
      </c>
      <c r="B353" s="20" t="inlineStr">
        <is>
          <t>Confederación Hidrográfica del Miño-Sil</t>
        </is>
      </c>
      <c r="C353" s="20" t="inlineStr">
        <is>
          <t>Tema funcional</t>
        </is>
      </c>
      <c r="D353" s="20" t="inlineStr">
        <is>
          <t>CE</t>
        </is>
      </c>
      <c r="E353" s="20" t="n"/>
      <c r="F353" s="20" t="inlineStr">
        <is>
          <t>Agua (cuencas hidrográficas)</t>
        </is>
      </c>
    </row>
    <row r="354">
      <c r="A354" s="20" t="n">
        <v>38</v>
      </c>
      <c r="B354" s="20" t="inlineStr">
        <is>
          <t>Confederación Hidrográfica del Cantábrico</t>
        </is>
      </c>
      <c r="C354" s="20" t="inlineStr">
        <is>
          <t>Clasificación: útil / no útil</t>
        </is>
      </c>
      <c r="D354" s="20" t="inlineStr">
        <is>
          <t>BV</t>
        </is>
      </c>
      <c r="E354" s="20" t="n"/>
      <c r="F354" s="20" t="inlineStr">
        <is>
          <t>Útil</t>
        </is>
      </c>
    </row>
    <row r="355">
      <c r="A355" s="20" t="n">
        <v>38</v>
      </c>
      <c r="B355" s="20" t="inlineStr">
        <is>
          <t>Confederación Hidrográfica del Cantábrico</t>
        </is>
      </c>
      <c r="C355" s="20" t="inlineStr">
        <is>
          <t>Clasificación: veredicto</t>
        </is>
      </c>
      <c r="D355" s="20" t="inlineStr">
        <is>
          <t>BW</t>
        </is>
      </c>
      <c r="E355" s="20" t="n"/>
      <c r="F355" s="20" t="inlineStr">
        <is>
          <t>Mantener</t>
        </is>
      </c>
    </row>
    <row r="356">
      <c r="A356" s="20" t="n">
        <v>38</v>
      </c>
      <c r="B356" s="20" t="inlineStr">
        <is>
          <t>Confederación Hidrográfica del Cantábrico</t>
        </is>
      </c>
      <c r="C356" s="20" t="inlineStr">
        <is>
          <t>Clasificación: función</t>
        </is>
      </c>
      <c r="D356" s="20" t="inlineStr">
        <is>
          <t>BX</t>
        </is>
      </c>
      <c r="E356" s="20" t="n"/>
      <c r="F356" s="20" t="inlineStr">
        <is>
          <t>Regulación o inspección de terceros</t>
        </is>
      </c>
    </row>
    <row r="357">
      <c r="A357" s="20" t="n">
        <v>38</v>
      </c>
      <c r="B357" s="20" t="inlineStr">
        <is>
          <t>Confederación Hidrográfica del Cantábrico</t>
        </is>
      </c>
      <c r="C357" s="20" t="inlineStr">
        <is>
          <t>Clasificación: exigida por la UE</t>
        </is>
      </c>
      <c r="D357" s="20" t="inlineStr">
        <is>
          <t>BZ</t>
        </is>
      </c>
      <c r="E357" s="20" t="n"/>
      <c r="F357" s="20" t="inlineStr">
        <is>
          <t>No</t>
        </is>
      </c>
    </row>
    <row r="358">
      <c r="A358" s="20" t="n">
        <v>38</v>
      </c>
      <c r="B358" s="20" t="inlineStr">
        <is>
          <t>Confederación Hidrográfica del Cantábrico</t>
        </is>
      </c>
      <c r="C358" s="20" t="inlineStr">
        <is>
          <t>Clasificación: actividad reciente</t>
        </is>
      </c>
      <c r="D358" s="20" t="inlineStr">
        <is>
          <t>CA</t>
        </is>
      </c>
      <c r="E358" s="20" t="n"/>
      <c r="F358" s="20" t="inlineStr">
        <is>
          <t>Acreditada</t>
        </is>
      </c>
    </row>
    <row r="359">
      <c r="A359" s="20" t="n">
        <v>38</v>
      </c>
      <c r="B359" s="20" t="inlineStr">
        <is>
          <t>Confederación Hidrográfica del Cantábrico</t>
        </is>
      </c>
      <c r="C359" s="20" t="inlineStr">
        <is>
          <t>Clasificación: motivo</t>
        </is>
      </c>
      <c r="D359" s="20" t="inlineStr">
        <is>
          <t>CB</t>
        </is>
      </c>
      <c r="E359" s="20" t="n"/>
      <c r="F359" s="20" t="inlineStr">
        <is>
          <t>Confederación hidrográfica: organismo autónomo de la AGE con personalidad propia, adscrito al ministerio de Medio Ambiente; gestiona la cuenca como pieza estatal, no una duplicidad autonómica. El inventario solo recoge Miño-Sil y Cantábrico (creadas/transformadas en el periodo); Ebro, Tajo, Duero, Guadalquivir, etc. no están en las 125 fichas. El P100 «Menos normas 12» limita el bloqueo de informes; no implica integrar ni suprimir la confederación.</t>
        </is>
      </c>
    </row>
    <row r="360">
      <c r="A360" s="20" t="n">
        <v>38</v>
      </c>
      <c r="B360" s="20" t="inlineStr">
        <is>
          <t>Confederación Hidrográfica del Cantábrico</t>
        </is>
      </c>
      <c r="C360" s="20" t="inlineStr">
        <is>
          <t>Clasificación: base en el P100</t>
        </is>
      </c>
      <c r="D360" s="20" t="inlineStr">
        <is>
          <t>CC</t>
        </is>
      </c>
      <c r="E360" s="20" t="n"/>
      <c r="F360" s="20" t="inlineStr">
        <is>
          <t>Aplicando el criterio del P100: Servicio directo (organismo autónomo estatal de cuenca)</t>
        </is>
      </c>
    </row>
    <row r="361">
      <c r="A361" s="20" t="n">
        <v>38</v>
      </c>
      <c r="B361" s="20" t="inlineStr">
        <is>
          <t>Confederación Hidrográfica del Cantábrico</t>
        </is>
      </c>
      <c r="C361" s="20" t="inlineStr">
        <is>
          <t>Tema funcional</t>
        </is>
      </c>
      <c r="D361" s="20" t="inlineStr">
        <is>
          <t>CE</t>
        </is>
      </c>
      <c r="E361" s="20" t="n"/>
      <c r="F361" s="20" t="inlineStr">
        <is>
          <t>Agua (cuencas hidrográficas)</t>
        </is>
      </c>
    </row>
    <row r="362">
      <c r="A362" s="20" t="n">
        <v>39</v>
      </c>
      <c r="B362" s="20" t="inlineStr">
        <is>
          <t>Organismo Autónomo Programas Educativos Europeos (OAPEE), hoy SEPIE</t>
        </is>
      </c>
      <c r="C362" s="20" t="inlineStr">
        <is>
          <t>Clasificación: útil / no útil</t>
        </is>
      </c>
      <c r="D362" s="20" t="inlineStr">
        <is>
          <t>BV</t>
        </is>
      </c>
      <c r="E362" s="20" t="n"/>
      <c r="F362" s="20" t="inlineStr">
        <is>
          <t>Útil</t>
        </is>
      </c>
    </row>
    <row r="363">
      <c r="A363" s="20" t="n">
        <v>39</v>
      </c>
      <c r="B363" s="20" t="inlineStr">
        <is>
          <t>Organismo Autónomo Programas Educativos Europeos (OAPEE), hoy SEPIE</t>
        </is>
      </c>
      <c r="C363" s="20" t="inlineStr">
        <is>
          <t>Clasificación: veredicto</t>
        </is>
      </c>
      <c r="D363" s="20" t="inlineStr">
        <is>
          <t>BW</t>
        </is>
      </c>
      <c r="E363" s="20" t="n"/>
      <c r="F363" s="20" t="inlineStr">
        <is>
          <t>Mantener</t>
        </is>
      </c>
    </row>
    <row r="364">
      <c r="A364" s="20" t="n">
        <v>39</v>
      </c>
      <c r="B364" s="20" t="inlineStr">
        <is>
          <t>Organismo Autónomo Programas Educativos Europeos (OAPEE), hoy SEPIE</t>
        </is>
      </c>
      <c r="C364" s="20" t="inlineStr">
        <is>
          <t>Clasificación: función</t>
        </is>
      </c>
      <c r="D364" s="20" t="inlineStr">
        <is>
          <t>BX</t>
        </is>
      </c>
      <c r="E364" s="20" t="n"/>
      <c r="F364" s="20" t="inlineStr">
        <is>
          <t>Financiación y ayudas</t>
        </is>
      </c>
    </row>
    <row r="365">
      <c r="A365" s="20" t="n">
        <v>39</v>
      </c>
      <c r="B365" s="20" t="inlineStr">
        <is>
          <t>Organismo Autónomo Programas Educativos Europeos (OAPEE), hoy SEPIE</t>
        </is>
      </c>
      <c r="C365" s="20" t="inlineStr">
        <is>
          <t>Clasificación: exigida por la UE</t>
        </is>
      </c>
      <c r="D365" s="20" t="inlineStr">
        <is>
          <t>BZ</t>
        </is>
      </c>
      <c r="E365" s="20" t="n"/>
      <c r="F365" s="20" t="inlineStr">
        <is>
          <t>Sí: el Reglamento (UE) 2021/817 exige una agencia nacional de Erasmus+</t>
        </is>
      </c>
    </row>
    <row r="366">
      <c r="A366" s="20" t="n">
        <v>39</v>
      </c>
      <c r="B366" s="20" t="inlineStr">
        <is>
          <t>Organismo Autónomo Programas Educativos Europeos (OAPEE), hoy SEPIE</t>
        </is>
      </c>
      <c r="C366" s="20" t="inlineStr">
        <is>
          <t>Clasificación: actividad reciente</t>
        </is>
      </c>
      <c r="D366" s="20" t="inlineStr">
        <is>
          <t>CA</t>
        </is>
      </c>
      <c r="E366" s="20" t="n"/>
      <c r="F366" s="20" t="inlineStr">
        <is>
          <t>Acreditada</t>
        </is>
      </c>
    </row>
    <row r="367">
      <c r="A367" s="20" t="n">
        <v>39</v>
      </c>
      <c r="B367" s="20" t="inlineStr">
        <is>
          <t>Organismo Autónomo Programas Educativos Europeos (OAPEE), hoy SEPIE</t>
        </is>
      </c>
      <c r="C367" s="20" t="inlineStr">
        <is>
          <t>Clasificación: motivo</t>
        </is>
      </c>
      <c r="D367" s="20" t="inlineStr">
        <is>
          <t>CB</t>
        </is>
      </c>
      <c r="E367" s="20" t="n"/>
      <c r="F367" s="20" t="inlineStr">
        <is>
          <t>Agencia nacional de Erasmus+, exigida por el reglamento europeo.</t>
        </is>
      </c>
    </row>
    <row r="368">
      <c r="A368" s="20" t="n">
        <v>39</v>
      </c>
      <c r="B368" s="20" t="inlineStr">
        <is>
          <t>Organismo Autónomo Programas Educativos Europeos (OAPEE), hoy SEPIE</t>
        </is>
      </c>
      <c r="C368" s="20" t="inlineStr">
        <is>
          <t>Clasificación: base en el P100</t>
        </is>
      </c>
      <c r="D368" s="20" t="inlineStr">
        <is>
          <t>CC</t>
        </is>
      </c>
      <c r="E368" s="20" t="n"/>
      <c r="F368" s="20" t="inlineStr">
        <is>
          <t>Aplicando el criterio del P100: Servicio directo (exigida por la UE)</t>
        </is>
      </c>
    </row>
    <row r="369">
      <c r="A369" s="20" t="n">
        <v>39</v>
      </c>
      <c r="B369" s="20" t="inlineStr">
        <is>
          <t>Organismo Autónomo Programas Educativos Europeos (OAPEE), hoy SEPIE</t>
        </is>
      </c>
      <c r="C369" s="20" t="inlineStr">
        <is>
          <t>Tema funcional</t>
        </is>
      </c>
      <c r="D369" s="20" t="inlineStr">
        <is>
          <t>CE</t>
        </is>
      </c>
      <c r="E369" s="20" t="n"/>
      <c r="F369" s="20" t="inlineStr">
        <is>
          <t>Programas educativos europeos</t>
        </is>
      </c>
    </row>
    <row r="370">
      <c r="A370" s="20" t="n">
        <v>40</v>
      </c>
      <c r="B370" s="20" t="inlineStr">
        <is>
          <t>Agencia Espacial Española (AEE)</t>
        </is>
      </c>
      <c r="C370" s="20" t="inlineStr">
        <is>
          <t>Clasificación: útil / no útil</t>
        </is>
      </c>
      <c r="D370" s="20" t="inlineStr">
        <is>
          <t>BV</t>
        </is>
      </c>
      <c r="E370" s="20" t="n"/>
      <c r="F370" s="20" t="inlineStr">
        <is>
          <t>No útil</t>
        </is>
      </c>
    </row>
    <row r="371">
      <c r="A371" s="20" t="n">
        <v>40</v>
      </c>
      <c r="B371" s="20" t="inlineStr">
        <is>
          <t>Agencia Espacial Española (AEE)</t>
        </is>
      </c>
      <c r="C371" s="20" t="inlineStr">
        <is>
          <t>Clasificación: veredicto</t>
        </is>
      </c>
      <c r="D371" s="20" t="inlineStr">
        <is>
          <t>BW</t>
        </is>
      </c>
      <c r="E371" s="20" t="n"/>
      <c r="F371" s="20" t="inlineStr">
        <is>
          <t>Integrar</t>
        </is>
      </c>
    </row>
    <row r="372">
      <c r="A372" s="20" t="n">
        <v>40</v>
      </c>
      <c r="B372" s="20" t="inlineStr">
        <is>
          <t>Agencia Espacial Española (AEE)</t>
        </is>
      </c>
      <c r="C372" s="20" t="inlineStr">
        <is>
          <t>Clasificación: función</t>
        </is>
      </c>
      <c r="D372" s="20" t="inlineStr">
        <is>
          <t>BX</t>
        </is>
      </c>
      <c r="E372" s="20" t="n"/>
      <c r="F372" s="20" t="inlineStr">
        <is>
          <t>Financiación y ayudas</t>
        </is>
      </c>
    </row>
    <row r="373">
      <c r="A373" s="20" t="n">
        <v>40</v>
      </c>
      <c r="B373" s="20" t="inlineStr">
        <is>
          <t>Agencia Espacial Española (AEE)</t>
        </is>
      </c>
      <c r="C373" s="20" t="inlineStr">
        <is>
          <t>Clasificación: exigida por la UE</t>
        </is>
      </c>
      <c r="D373" s="20" t="inlineStr">
        <is>
          <t>BZ</t>
        </is>
      </c>
      <c r="E373" s="20" t="n"/>
      <c r="F373" s="20" t="inlineStr">
        <is>
          <t>No</t>
        </is>
      </c>
    </row>
    <row r="374">
      <c r="A374" s="20" t="n">
        <v>40</v>
      </c>
      <c r="B374" s="20" t="inlineStr">
        <is>
          <t>Agencia Espacial Española (AEE)</t>
        </is>
      </c>
      <c r="C374" s="20" t="inlineStr">
        <is>
          <t>Clasificación: actividad reciente</t>
        </is>
      </c>
      <c r="D374" s="20" t="inlineStr">
        <is>
          <t>CA</t>
        </is>
      </c>
      <c r="E374" s="20" t="n"/>
      <c r="F374" s="20" t="inlineStr">
        <is>
          <t>Acreditada</t>
        </is>
      </c>
    </row>
    <row r="375">
      <c r="A375" s="20" t="n">
        <v>40</v>
      </c>
      <c r="B375" s="20" t="inlineStr">
        <is>
          <t>Agencia Espacial Española (AEE)</t>
        </is>
      </c>
      <c r="C375" s="20" t="inlineStr">
        <is>
          <t>Clasificación: motivo</t>
        </is>
      </c>
      <c r="D375" s="20" t="inlineStr">
        <is>
          <t>CB</t>
        </is>
      </c>
      <c r="E375" s="20" t="n"/>
      <c r="F375" s="20" t="inlineStr">
        <is>
          <t>Canaliza programas espaciales y la aportación a la Agencia Espacial Europea, que el CDTI gestionaba hasta 2023; creada después de 2004.</t>
        </is>
      </c>
    </row>
    <row r="376">
      <c r="A376" s="20" t="n">
        <v>40</v>
      </c>
      <c r="B376" s="20" t="inlineStr">
        <is>
          <t>Agencia Espacial Española (AEE)</t>
        </is>
      </c>
      <c r="C376" s="20" t="inlineStr">
        <is>
          <t>Clasificación: base en el P100</t>
        </is>
      </c>
      <c r="D376" s="20" t="inlineStr">
        <is>
          <t>CC</t>
        </is>
      </c>
      <c r="E376" s="20" t="n"/>
      <c r="F376" s="20" t="inlineStr">
        <is>
          <t>Aplicando el criterio del P100: Costes del Estado 9 (alguien más ya lo hacía)</t>
        </is>
      </c>
    </row>
    <row r="377">
      <c r="A377" s="20" t="n">
        <v>40</v>
      </c>
      <c r="B377" s="20" t="inlineStr">
        <is>
          <t>Agencia Espacial Española (AEE)</t>
        </is>
      </c>
      <c r="C377" s="20" t="inlineStr">
        <is>
          <t>Clasificación: destino de sus funciones</t>
        </is>
      </c>
      <c r="D377" s="20" t="inlineStr">
        <is>
          <t>CD</t>
        </is>
      </c>
      <c r="E377" s="20" t="n"/>
      <c r="F377" s="20" t="inlineStr">
        <is>
          <t>Centro para el Desarrollo Tecnológico y la Innovación (CDTI, E.P.E.)</t>
        </is>
      </c>
    </row>
    <row r="378">
      <c r="A378" s="20" t="n">
        <v>40</v>
      </c>
      <c r="B378" s="20" t="inlineStr">
        <is>
          <t>Agencia Espacial Española (AEE)</t>
        </is>
      </c>
      <c r="C378" s="20" t="inlineStr">
        <is>
          <t>Tema funcional</t>
        </is>
      </c>
      <c r="D378" s="20" t="inlineStr">
        <is>
          <t>CE</t>
        </is>
      </c>
      <c r="E378" s="20" t="n"/>
      <c r="F378" s="20" t="inlineStr">
        <is>
          <t>Espacio</t>
        </is>
      </c>
    </row>
    <row r="379">
      <c r="A379" s="20" t="n">
        <v>41</v>
      </c>
      <c r="B379" s="20" t="inlineStr">
        <is>
          <t>Agencia Española de Supervisión de Inteligencia Artificial (AESIA)</t>
        </is>
      </c>
      <c r="C379" s="20" t="inlineStr">
        <is>
          <t>Clasificación: útil / no útil</t>
        </is>
      </c>
      <c r="D379" s="20" t="inlineStr">
        <is>
          <t>BV</t>
        </is>
      </c>
      <c r="E379" s="20" t="n"/>
      <c r="F379" s="20" t="inlineStr">
        <is>
          <t>Útil</t>
        </is>
      </c>
    </row>
    <row r="380">
      <c r="A380" s="20" t="n">
        <v>41</v>
      </c>
      <c r="B380" s="20" t="inlineStr">
        <is>
          <t>Agencia Española de Supervisión de Inteligencia Artificial (AESIA)</t>
        </is>
      </c>
      <c r="C380" s="20" t="inlineStr">
        <is>
          <t>Clasificación: veredicto</t>
        </is>
      </c>
      <c r="D380" s="20" t="inlineStr">
        <is>
          <t>BW</t>
        </is>
      </c>
      <c r="E380" s="20" t="n"/>
      <c r="F380" s="20" t="inlineStr">
        <is>
          <t>Mantener</t>
        </is>
      </c>
    </row>
    <row r="381">
      <c r="A381" s="20" t="n">
        <v>41</v>
      </c>
      <c r="B381" s="20" t="inlineStr">
        <is>
          <t>Agencia Española de Supervisión de Inteligencia Artificial (AESIA)</t>
        </is>
      </c>
      <c r="C381" s="20" t="inlineStr">
        <is>
          <t>Clasificación: función</t>
        </is>
      </c>
      <c r="D381" s="20" t="inlineStr">
        <is>
          <t>BX</t>
        </is>
      </c>
      <c r="E381" s="20" t="n"/>
      <c r="F381" s="20" t="inlineStr">
        <is>
          <t>Regulación o inspección de terceros</t>
        </is>
      </c>
    </row>
    <row r="382">
      <c r="A382" s="20" t="n">
        <v>41</v>
      </c>
      <c r="B382" s="20" t="inlineStr">
        <is>
          <t>Agencia Española de Supervisión de Inteligencia Artificial (AESIA)</t>
        </is>
      </c>
      <c r="C382" s="20" t="inlineStr">
        <is>
          <t>Clasificación: exigida por la UE</t>
        </is>
      </c>
      <c r="D382" s="20" t="inlineStr">
        <is>
          <t>BZ</t>
        </is>
      </c>
      <c r="E382" s="20" t="n"/>
      <c r="F382" s="20" t="inlineStr">
        <is>
          <t>Sí: el Reglamento (UE) 2024/1689 exige una autoridad de vigilancia del mercado de IA</t>
        </is>
      </c>
    </row>
    <row r="383">
      <c r="A383" s="20" t="n">
        <v>41</v>
      </c>
      <c r="B383" s="20" t="inlineStr">
        <is>
          <t>Agencia Española de Supervisión de Inteligencia Artificial (AESIA)</t>
        </is>
      </c>
      <c r="C383" s="20" t="inlineStr">
        <is>
          <t>Clasificación: actividad reciente</t>
        </is>
      </c>
      <c r="D383" s="20" t="inlineStr">
        <is>
          <t>CA</t>
        </is>
      </c>
      <c r="E383" s="20" t="n"/>
      <c r="F383" s="20" t="inlineStr">
        <is>
          <t>Acreditada</t>
        </is>
      </c>
    </row>
    <row r="384">
      <c r="A384" s="20" t="n">
        <v>41</v>
      </c>
      <c r="B384" s="20" t="inlineStr">
        <is>
          <t>Agencia Española de Supervisión de Inteligencia Artificial (AESIA)</t>
        </is>
      </c>
      <c r="C384" s="20" t="inlineStr">
        <is>
          <t>Clasificación: motivo</t>
        </is>
      </c>
      <c r="D384" s="20" t="inlineStr">
        <is>
          <t>CB</t>
        </is>
      </c>
      <c r="E384" s="20" t="n"/>
      <c r="F384" s="20" t="inlineStr">
        <is>
          <t>Vigila el mercado de la inteligencia artificial, como exige el reglamento europeo.</t>
        </is>
      </c>
    </row>
    <row r="385">
      <c r="A385" s="20" t="n">
        <v>41</v>
      </c>
      <c r="B385" s="20" t="inlineStr">
        <is>
          <t>Agencia Española de Supervisión de Inteligencia Artificial (AESIA)</t>
        </is>
      </c>
      <c r="C385" s="20" t="inlineStr">
        <is>
          <t>Clasificación: base en el P100</t>
        </is>
      </c>
      <c r="D385" s="20" t="inlineStr">
        <is>
          <t>CC</t>
        </is>
      </c>
      <c r="E385" s="20" t="n"/>
      <c r="F385" s="20" t="inlineStr">
        <is>
          <t>Aplicando el criterio del P100: Costes del Estado 9 (función técnica; exigida por la UE)</t>
        </is>
      </c>
    </row>
    <row r="386">
      <c r="A386" s="20" t="n">
        <v>41</v>
      </c>
      <c r="B386" s="20" t="inlineStr">
        <is>
          <t>Agencia Española de Supervisión de Inteligencia Artificial (AESIA)</t>
        </is>
      </c>
      <c r="C386" s="20" t="inlineStr">
        <is>
          <t>Tema funcional</t>
        </is>
      </c>
      <c r="D386" s="20" t="inlineStr">
        <is>
          <t>CE</t>
        </is>
      </c>
      <c r="E386" s="20" t="n"/>
      <c r="F386" s="20" t="inlineStr">
        <is>
          <t>Inteligencia artificial</t>
        </is>
      </c>
    </row>
    <row r="387">
      <c r="A387" s="20" t="n">
        <v>42</v>
      </c>
      <c r="B387" s="20" t="inlineStr">
        <is>
          <t>Agencia Estatal de Administración Digital (AEAD)</t>
        </is>
      </c>
      <c r="C387" s="20" t="inlineStr">
        <is>
          <t>Clasificación: útil / no útil</t>
        </is>
      </c>
      <c r="D387" s="20" t="inlineStr">
        <is>
          <t>BV</t>
        </is>
      </c>
      <c r="E387" s="20" t="n"/>
      <c r="F387" s="20" t="inlineStr">
        <is>
          <t>Útil</t>
        </is>
      </c>
    </row>
    <row r="388">
      <c r="A388" s="20" t="n">
        <v>42</v>
      </c>
      <c r="B388" s="20" t="inlineStr">
        <is>
          <t>Agencia Estatal de Administración Digital (AEAD)</t>
        </is>
      </c>
      <c r="C388" s="20" t="inlineStr">
        <is>
          <t>Clasificación: veredicto</t>
        </is>
      </c>
      <c r="D388" s="20" t="inlineStr">
        <is>
          <t>BW</t>
        </is>
      </c>
      <c r="E388" s="20" t="n"/>
      <c r="F388" s="20" t="inlineStr">
        <is>
          <t>Mantener</t>
        </is>
      </c>
    </row>
    <row r="389">
      <c r="A389" s="20" t="n">
        <v>42</v>
      </c>
      <c r="B389" s="20" t="inlineStr">
        <is>
          <t>Agencia Estatal de Administración Digital (AEAD)</t>
        </is>
      </c>
      <c r="C389" s="20" t="inlineStr">
        <is>
          <t>Clasificación: función</t>
        </is>
      </c>
      <c r="D389" s="20" t="inlineStr">
        <is>
          <t>BX</t>
        </is>
      </c>
      <c r="E389" s="20" t="n"/>
      <c r="F389" s="20" t="inlineStr">
        <is>
          <t>Servicio público directo</t>
        </is>
      </c>
    </row>
    <row r="390">
      <c r="A390" s="20" t="n">
        <v>42</v>
      </c>
      <c r="B390" s="20" t="inlineStr">
        <is>
          <t>Agencia Estatal de Administración Digital (AEAD)</t>
        </is>
      </c>
      <c r="C390" s="20" t="inlineStr">
        <is>
          <t>Clasificación: duplicidad</t>
        </is>
      </c>
      <c r="D390" s="20" t="inlineStr">
        <is>
          <t>BY</t>
        </is>
      </c>
      <c r="E390" s="20" t="n"/>
      <c r="F390" s="20" t="inlineStr">
        <is>
          <t>Organismo estatal de referencia. 9 comunidades tienen el suyo propio; 10 organismos sobre este tema entre el Estado y las CCAA (verificados).</t>
        </is>
      </c>
    </row>
    <row r="391">
      <c r="A391" s="20" t="n">
        <v>42</v>
      </c>
      <c r="B391" s="20" t="inlineStr">
        <is>
          <t>Agencia Estatal de Administración Digital (AEAD)</t>
        </is>
      </c>
      <c r="C391" s="20" t="inlineStr">
        <is>
          <t>Clasificación: exigida por la UE</t>
        </is>
      </c>
      <c r="D391" s="20" t="inlineStr">
        <is>
          <t>BZ</t>
        </is>
      </c>
      <c r="E391" s="20" t="n"/>
      <c r="F391" s="20" t="inlineStr">
        <is>
          <t>No</t>
        </is>
      </c>
    </row>
    <row r="392">
      <c r="A392" s="20" t="n">
        <v>42</v>
      </c>
      <c r="B392" s="20" t="inlineStr">
        <is>
          <t>Agencia Estatal de Administración Digital (AEAD)</t>
        </is>
      </c>
      <c r="C392" s="20" t="inlineStr">
        <is>
          <t>Clasificación: actividad reciente</t>
        </is>
      </c>
      <c r="D392" s="20" t="inlineStr">
        <is>
          <t>CA</t>
        </is>
      </c>
      <c r="E392" s="20" t="n"/>
      <c r="F392" s="20" t="inlineStr">
        <is>
          <t>Acreditada</t>
        </is>
      </c>
    </row>
    <row r="393">
      <c r="A393" s="20" t="n">
        <v>42</v>
      </c>
      <c r="B393" s="20" t="inlineStr">
        <is>
          <t>Agencia Estatal de Administración Digital (AEAD)</t>
        </is>
      </c>
      <c r="C393" s="20" t="inlineStr">
        <is>
          <t>Clasificación: motivo</t>
        </is>
      </c>
      <c r="D393" s="20" t="inlineStr">
        <is>
          <t>CB</t>
        </is>
      </c>
      <c r="E393" s="20" t="n"/>
      <c r="F393" s="20" t="inlineStr">
        <is>
          <t>Presta los servicios digitales comunes del Estado: es la pieza natural para la web única del P100.</t>
        </is>
      </c>
    </row>
    <row r="394">
      <c r="A394" s="20" t="n">
        <v>42</v>
      </c>
      <c r="B394" s="20" t="inlineStr">
        <is>
          <t>Agencia Estatal de Administración Digital (AEAD)</t>
        </is>
      </c>
      <c r="C394" s="20" t="inlineStr">
        <is>
          <t>Clasificación: base en el P100</t>
        </is>
      </c>
      <c r="D394" s="20" t="inlineStr">
        <is>
          <t>CC</t>
        </is>
      </c>
      <c r="E394" s="20" t="n"/>
      <c r="F394" s="20" t="inlineStr">
        <is>
          <t>Aplicando el criterio del P100: Organización del Estado 17</t>
        </is>
      </c>
    </row>
    <row r="395">
      <c r="A395" s="20" t="n">
        <v>42</v>
      </c>
      <c r="B395" s="20" t="inlineStr">
        <is>
          <t>Agencia Estatal de Administración Digital (AEAD)</t>
        </is>
      </c>
      <c r="C395" s="20" t="inlineStr">
        <is>
          <t>Tema funcional</t>
        </is>
      </c>
      <c r="D395" s="20" t="inlineStr">
        <is>
          <t>CE</t>
        </is>
      </c>
      <c r="E395" s="20" t="n"/>
      <c r="F395" s="20" t="inlineStr">
        <is>
          <t>Agencias de administración digital y TIC</t>
        </is>
      </c>
    </row>
    <row r="396">
      <c r="A396" s="20" t="n">
        <v>42</v>
      </c>
      <c r="B396" s="20" t="inlineStr">
        <is>
          <t>Agencia Estatal de Administración Digital (AEAD)</t>
        </is>
      </c>
      <c r="C396" s="20" t="inlineStr">
        <is>
          <t>Organismos del mismo tema (Estado + CCAA, verificados)</t>
        </is>
      </c>
      <c r="D396" s="20" t="inlineStr">
        <is>
          <t>CF</t>
        </is>
      </c>
      <c r="E396" s="20" t="n"/>
      <c r="F396" s="20" t="n">
        <v>10</v>
      </c>
    </row>
    <row r="397">
      <c r="A397" s="20" t="n">
        <v>43</v>
      </c>
      <c r="B397" s="20" t="inlineStr">
        <is>
          <t>Autoridad Independiente de Protección del Informante (A.A.I.)</t>
        </is>
      </c>
      <c r="C397" s="20" t="inlineStr">
        <is>
          <t>Clasificación: útil / no útil</t>
        </is>
      </c>
      <c r="D397" s="20" t="inlineStr">
        <is>
          <t>BV</t>
        </is>
      </c>
      <c r="E397" s="20" t="n"/>
      <c r="F397" s="20" t="inlineStr">
        <is>
          <t>Útil</t>
        </is>
      </c>
    </row>
    <row r="398">
      <c r="A398" s="20" t="n">
        <v>43</v>
      </c>
      <c r="B398" s="20" t="inlineStr">
        <is>
          <t>Autoridad Independiente de Protección del Informante (A.A.I.)</t>
        </is>
      </c>
      <c r="C398" s="20" t="inlineStr">
        <is>
          <t>Clasificación: veredicto</t>
        </is>
      </c>
      <c r="D398" s="20" t="inlineStr">
        <is>
          <t>BW</t>
        </is>
      </c>
      <c r="E398" s="20" t="n"/>
      <c r="F398" s="20" t="inlineStr">
        <is>
          <t>Mantener</t>
        </is>
      </c>
    </row>
    <row r="399">
      <c r="A399" s="20" t="n">
        <v>43</v>
      </c>
      <c r="B399" s="20" t="inlineStr">
        <is>
          <t>Autoridad Independiente de Protección del Informante (A.A.I.)</t>
        </is>
      </c>
      <c r="C399" s="20" t="inlineStr">
        <is>
          <t>Clasificación: función</t>
        </is>
      </c>
      <c r="D399" s="20" t="inlineStr">
        <is>
          <t>BX</t>
        </is>
      </c>
      <c r="E399" s="20" t="n"/>
      <c r="F399" s="20" t="inlineStr">
        <is>
          <t>Control interno y cumplimiento</t>
        </is>
      </c>
    </row>
    <row r="400">
      <c r="A400" s="20" t="n">
        <v>43</v>
      </c>
      <c r="B400" s="20" t="inlineStr">
        <is>
          <t>Autoridad Independiente de Protección del Informante (A.A.I.)</t>
        </is>
      </c>
      <c r="C400" s="20" t="inlineStr">
        <is>
          <t>Clasificación: duplicidad</t>
        </is>
      </c>
      <c r="D400" s="20" t="inlineStr">
        <is>
          <t>BY</t>
        </is>
      </c>
      <c r="E400" s="20" t="n"/>
      <c r="F400" s="20" t="inlineStr">
        <is>
          <t>Organismo estatal de referencia. 9 comunidades tienen el suyo propio; 10 organismos sobre este tema entre el Estado y las CCAA (verificados).</t>
        </is>
      </c>
    </row>
    <row r="401">
      <c r="A401" s="20" t="n">
        <v>43</v>
      </c>
      <c r="B401" s="20" t="inlineStr">
        <is>
          <t>Autoridad Independiente de Protección del Informante (A.A.I.)</t>
        </is>
      </c>
      <c r="C401" s="20" t="inlineStr">
        <is>
          <t>Clasificación: exigida por la UE</t>
        </is>
      </c>
      <c r="D401" s="20" t="inlineStr">
        <is>
          <t>BZ</t>
        </is>
      </c>
      <c r="E401" s="20" t="n"/>
      <c r="F401" s="20" t="inlineStr">
        <is>
          <t>Sí: la Directiva (UE) 2019/1937 exige autoridades de canal externo de denuncias</t>
        </is>
      </c>
    </row>
    <row r="402">
      <c r="A402" s="20" t="n">
        <v>43</v>
      </c>
      <c r="B402" s="20" t="inlineStr">
        <is>
          <t>Autoridad Independiente de Protección del Informante (A.A.I.)</t>
        </is>
      </c>
      <c r="C402" s="20" t="inlineStr">
        <is>
          <t>Clasificación: actividad reciente</t>
        </is>
      </c>
      <c r="D402" s="20" t="inlineStr">
        <is>
          <t>CA</t>
        </is>
      </c>
      <c r="E402" s="20" t="n"/>
      <c r="F402" s="20" t="inlineStr">
        <is>
          <t>Acreditada</t>
        </is>
      </c>
    </row>
    <row r="403">
      <c r="A403" s="20" t="n">
        <v>43</v>
      </c>
      <c r="B403" s="20" t="inlineStr">
        <is>
          <t>Autoridad Independiente de Protección del Informante (A.A.I.)</t>
        </is>
      </c>
      <c r="C403" s="20" t="inlineStr">
        <is>
          <t>Clasificación: motivo</t>
        </is>
      </c>
      <c r="D403" s="20" t="inlineStr">
        <is>
          <t>CB</t>
        </is>
      </c>
      <c r="E403" s="20" t="n"/>
      <c r="F403" s="20" t="inlineStr">
        <is>
          <t>Canal externo de denuncias y protección del informante, exigido por la directiva europea.</t>
        </is>
      </c>
    </row>
    <row r="404">
      <c r="A404" s="20" t="n">
        <v>43</v>
      </c>
      <c r="B404" s="20" t="inlineStr">
        <is>
          <t>Autoridad Independiente de Protección del Informante (A.A.I.)</t>
        </is>
      </c>
      <c r="C404" s="20" t="inlineStr">
        <is>
          <t>Clasificación: base en el P100</t>
        </is>
      </c>
      <c r="D404" s="20" t="inlineStr">
        <is>
          <t>CC</t>
        </is>
      </c>
      <c r="E404" s="20" t="n"/>
      <c r="F404" s="20" t="inlineStr">
        <is>
          <t>Aplicando el criterio del P100: Costes del Estado 9 (imparcialidad; exigida por la UE)</t>
        </is>
      </c>
    </row>
    <row r="405">
      <c r="A405" s="20" t="n">
        <v>43</v>
      </c>
      <c r="B405" s="20" t="inlineStr">
        <is>
          <t>Autoridad Independiente de Protección del Informante (A.A.I.)</t>
        </is>
      </c>
      <c r="C405" s="20" t="inlineStr">
        <is>
          <t>Tema funcional</t>
        </is>
      </c>
      <c r="D405" s="20" t="inlineStr">
        <is>
          <t>CE</t>
        </is>
      </c>
      <c r="E405" s="20" t="n"/>
      <c r="F405" s="20" t="inlineStr">
        <is>
          <t>Oficinas y agencias antifraude y de protección del informante</t>
        </is>
      </c>
    </row>
    <row r="406">
      <c r="A406" s="20" t="n">
        <v>43</v>
      </c>
      <c r="B406" s="20" t="inlineStr">
        <is>
          <t>Autoridad Independiente de Protección del Informante (A.A.I.)</t>
        </is>
      </c>
      <c r="C406" s="20" t="inlineStr">
        <is>
          <t>Organismos del mismo tema (Estado + CCAA, verificados)</t>
        </is>
      </c>
      <c r="D406" s="20" t="inlineStr">
        <is>
          <t>CF</t>
        </is>
      </c>
      <c r="E406" s="20" t="n"/>
      <c r="F406" s="20" t="n">
        <v>10</v>
      </c>
    </row>
    <row r="407">
      <c r="A407" s="20" t="n">
        <v>44</v>
      </c>
      <c r="B407" s="20" t="inlineStr">
        <is>
          <t>Autoridad Independiente para la Igualdad de Trato y la No Discriminación</t>
        </is>
      </c>
      <c r="C407" s="20" t="inlineStr">
        <is>
          <t>Clasificación: útil / no útil</t>
        </is>
      </c>
      <c r="D407" s="20" t="inlineStr">
        <is>
          <t>BV</t>
        </is>
      </c>
      <c r="E407" s="20" t="n"/>
      <c r="F407" s="20" t="inlineStr">
        <is>
          <t>No útil</t>
        </is>
      </c>
    </row>
    <row r="408">
      <c r="A408" s="20" t="n">
        <v>44</v>
      </c>
      <c r="B408" s="20" t="inlineStr">
        <is>
          <t>Autoridad Independiente para la Igualdad de Trato y la No Discriminación</t>
        </is>
      </c>
      <c r="C408" s="20" t="inlineStr">
        <is>
          <t>Clasificación: veredicto</t>
        </is>
      </c>
      <c r="D408" s="20" t="inlineStr">
        <is>
          <t>BW</t>
        </is>
      </c>
      <c r="E408" s="20" t="n"/>
      <c r="F408" s="20" t="inlineStr">
        <is>
          <t>Integrar</t>
        </is>
      </c>
    </row>
    <row r="409">
      <c r="A409" s="20" t="n">
        <v>44</v>
      </c>
      <c r="B409" s="20" t="inlineStr">
        <is>
          <t>Autoridad Independiente para la Igualdad de Trato y la No Discriminación</t>
        </is>
      </c>
      <c r="C409" s="20" t="inlineStr">
        <is>
          <t>Clasificación: función</t>
        </is>
      </c>
      <c r="D409" s="20" t="inlineStr">
        <is>
          <t>BX</t>
        </is>
      </c>
      <c r="E409" s="20" t="n"/>
      <c r="F409" s="20" t="inlineStr">
        <is>
          <t>Control interno y cumplimiento</t>
        </is>
      </c>
    </row>
    <row r="410">
      <c r="A410" s="20" t="n">
        <v>44</v>
      </c>
      <c r="B410" s="20" t="inlineStr">
        <is>
          <t>Autoridad Independiente para la Igualdad de Trato y la No Discriminación</t>
        </is>
      </c>
      <c r="C410" s="20" t="inlineStr">
        <is>
          <t>Clasificación: exigida por la UE</t>
        </is>
      </c>
      <c r="D410" s="20" t="inlineStr">
        <is>
          <t>BZ</t>
        </is>
      </c>
      <c r="E410" s="20" t="n"/>
      <c r="F410" s="20" t="inlineStr">
        <is>
          <t>Sí: las directivas de igualdad de trato exigen un organismo de igualdad</t>
        </is>
      </c>
    </row>
    <row r="411">
      <c r="A411" s="20" t="n">
        <v>44</v>
      </c>
      <c r="B411" s="20" t="inlineStr">
        <is>
          <t>Autoridad Independiente para la Igualdad de Trato y la No Discriminación</t>
        </is>
      </c>
      <c r="C411" s="20" t="inlineStr">
        <is>
          <t>Clasificación: actividad reciente</t>
        </is>
      </c>
      <c r="D411" s="20" t="inlineStr">
        <is>
          <t>CA</t>
        </is>
      </c>
      <c r="E411" s="20" t="n"/>
      <c r="F411" s="20" t="inlineStr">
        <is>
          <t>No acreditada</t>
        </is>
      </c>
    </row>
    <row r="412">
      <c r="A412" s="20" t="n">
        <v>44</v>
      </c>
      <c r="B412" s="20" t="inlineStr">
        <is>
          <t>Autoridad Independiente para la Igualdad de Trato y la No Discriminación</t>
        </is>
      </c>
      <c r="C412" s="20" t="inlineStr">
        <is>
          <t>Clasificación: motivo</t>
        </is>
      </c>
      <c r="D412" s="20" t="inlineStr">
        <is>
          <t>CB</t>
        </is>
      </c>
      <c r="E412" s="20" t="n"/>
      <c r="F412" s="20" t="inlineStr">
        <is>
          <t>El P100 la suprime porque duplica funciones de otros organismos; sus garantías pasan al Defensor del Pueblo.</t>
        </is>
      </c>
    </row>
    <row r="413">
      <c r="A413" s="20" t="n">
        <v>44</v>
      </c>
      <c r="B413" s="20" t="inlineStr">
        <is>
          <t>Autoridad Independiente para la Igualdad de Trato y la No Discriminación</t>
        </is>
      </c>
      <c r="C413" s="20" t="inlineStr">
        <is>
          <t>Clasificación: base en el P100</t>
        </is>
      </c>
      <c r="D413" s="20" t="inlineStr">
        <is>
          <t>CC</t>
        </is>
      </c>
      <c r="E413" s="20" t="n"/>
      <c r="F413" s="20" t="inlineStr">
        <is>
          <t>Explícito en el P100: Derogar el sanchismo; Organización del Estado 5</t>
        </is>
      </c>
    </row>
    <row r="414">
      <c r="A414" s="20" t="n">
        <v>44</v>
      </c>
      <c r="B414" s="20" t="inlineStr">
        <is>
          <t>Autoridad Independiente para la Igualdad de Trato y la No Discriminación</t>
        </is>
      </c>
      <c r="C414" s="20" t="inlineStr">
        <is>
          <t>Clasificación: destino de sus funciones</t>
        </is>
      </c>
      <c r="D414" s="20" t="inlineStr">
        <is>
          <t>CD</t>
        </is>
      </c>
      <c r="E414" s="20" t="n"/>
      <c r="F414" s="20" t="inlineStr">
        <is>
          <t>Defensor del Pueblo</t>
        </is>
      </c>
    </row>
    <row r="415">
      <c r="A415" s="20" t="n">
        <v>44</v>
      </c>
      <c r="B415" s="20" t="inlineStr">
        <is>
          <t>Autoridad Independiente para la Igualdad de Trato y la No Discriminación</t>
        </is>
      </c>
      <c r="C415" s="20" t="inlineStr">
        <is>
          <t>Tema funcional</t>
        </is>
      </c>
      <c r="D415" s="20" t="inlineStr">
        <is>
          <t>CE</t>
        </is>
      </c>
      <c r="E415" s="20" t="n"/>
      <c r="F415" s="20" t="inlineStr">
        <is>
          <t>Igualdad de trato y no discriminación</t>
        </is>
      </c>
    </row>
    <row r="416">
      <c r="A416" s="20" t="n">
        <v>45</v>
      </c>
      <c r="B416" s="20" t="inlineStr">
        <is>
          <t>Agencia Estatal de Evaluación de Políticas Públicas</t>
        </is>
      </c>
      <c r="C416" s="20" t="inlineStr">
        <is>
          <t>Clasificación: útil / no útil</t>
        </is>
      </c>
      <c r="D416" s="20" t="inlineStr">
        <is>
          <t>BV</t>
        </is>
      </c>
      <c r="E416" s="20" t="n"/>
      <c r="F416" s="20" t="inlineStr">
        <is>
          <t>No útil</t>
        </is>
      </c>
    </row>
    <row r="417">
      <c r="A417" s="20" t="n">
        <v>45</v>
      </c>
      <c r="B417" s="20" t="inlineStr">
        <is>
          <t>Agencia Estatal de Evaluación de Políticas Públicas</t>
        </is>
      </c>
      <c r="C417" s="20" t="inlineStr">
        <is>
          <t>Clasificación: veredicto</t>
        </is>
      </c>
      <c r="D417" s="20" t="inlineStr">
        <is>
          <t>BW</t>
        </is>
      </c>
      <c r="E417" s="20" t="n"/>
      <c r="F417" s="20" t="inlineStr">
        <is>
          <t>Integrar</t>
        </is>
      </c>
    </row>
    <row r="418">
      <c r="A418" s="20" t="n">
        <v>45</v>
      </c>
      <c r="B418" s="20" t="inlineStr">
        <is>
          <t>Agencia Estatal de Evaluación de Políticas Públicas</t>
        </is>
      </c>
      <c r="C418" s="20" t="inlineStr">
        <is>
          <t>Clasificación: función</t>
        </is>
      </c>
      <c r="D418" s="20" t="inlineStr">
        <is>
          <t>BX</t>
        </is>
      </c>
      <c r="E418" s="20" t="n"/>
      <c r="F418" s="20" t="inlineStr">
        <is>
          <t>Control interno y cumplimiento</t>
        </is>
      </c>
    </row>
    <row r="419">
      <c r="A419" s="20" t="n">
        <v>45</v>
      </c>
      <c r="B419" s="20" t="inlineStr">
        <is>
          <t>Agencia Estatal de Evaluación de Políticas Públicas</t>
        </is>
      </c>
      <c r="C419" s="20" t="inlineStr">
        <is>
          <t>Clasificación: duplicidad</t>
        </is>
      </c>
      <c r="D419" s="20" t="inlineStr">
        <is>
          <t>BY</t>
        </is>
      </c>
      <c r="E419" s="20" t="n"/>
      <c r="F419" s="20" t="inlineStr">
        <is>
          <t>Organismo estatal de referencia. 2 comunidades tienen el suyo propio; 3 organismos sobre este tema entre el Estado y las CCAA (verificados).</t>
        </is>
      </c>
    </row>
    <row r="420">
      <c r="A420" s="20" t="n">
        <v>45</v>
      </c>
      <c r="B420" s="20" t="inlineStr">
        <is>
          <t>Agencia Estatal de Evaluación de Políticas Públicas</t>
        </is>
      </c>
      <c r="C420" s="20" t="inlineStr">
        <is>
          <t>Clasificación: exigida por la UE</t>
        </is>
      </c>
      <c r="D420" s="20" t="inlineStr">
        <is>
          <t>BZ</t>
        </is>
      </c>
      <c r="E420" s="20" t="n"/>
      <c r="F420" s="20" t="inlineStr">
        <is>
          <t>No</t>
        </is>
      </c>
    </row>
    <row r="421">
      <c r="A421" s="20" t="n">
        <v>45</v>
      </c>
      <c r="B421" s="20" t="inlineStr">
        <is>
          <t>Agencia Estatal de Evaluación de Políticas Públicas</t>
        </is>
      </c>
      <c r="C421" s="20" t="inlineStr">
        <is>
          <t>Clasificación: actividad reciente</t>
        </is>
      </c>
      <c r="D421" s="20" t="inlineStr">
        <is>
          <t>CA</t>
        </is>
      </c>
      <c r="E421" s="20" t="n"/>
      <c r="F421" s="20" t="inlineStr">
        <is>
          <t>Parcial</t>
        </is>
      </c>
    </row>
    <row r="422">
      <c r="A422" s="20" t="n">
        <v>45</v>
      </c>
      <c r="B422" s="20" t="inlineStr">
        <is>
          <t>Agencia Estatal de Evaluación de Políticas Públicas</t>
        </is>
      </c>
      <c r="C422" s="20" t="inlineStr">
        <is>
          <t>Clasificación: motivo</t>
        </is>
      </c>
      <c r="D422" s="20" t="inlineStr">
        <is>
          <t>CB</t>
        </is>
      </c>
      <c r="E422" s="20" t="n"/>
      <c r="F422" s="20" t="inlineStr">
        <is>
          <t>Evalúa políticas públicas, la misma función que el P100 encarga a la AIReF.</t>
        </is>
      </c>
    </row>
    <row r="423">
      <c r="A423" s="20" t="n">
        <v>45</v>
      </c>
      <c r="B423" s="20" t="inlineStr">
        <is>
          <t>Agencia Estatal de Evaluación de Políticas Públicas</t>
        </is>
      </c>
      <c r="C423" s="20" t="inlineStr">
        <is>
          <t>Clasificación: base en el P100</t>
        </is>
      </c>
      <c r="D423" s="20" t="inlineStr">
        <is>
          <t>CC</t>
        </is>
      </c>
      <c r="E423" s="20" t="n"/>
      <c r="F423" s="20" t="inlineStr">
        <is>
          <t>Aplicando el criterio del P100: Costes del Estado 1 y 12</t>
        </is>
      </c>
    </row>
    <row r="424">
      <c r="A424" s="20" t="n">
        <v>45</v>
      </c>
      <c r="B424" s="20" t="inlineStr">
        <is>
          <t>Agencia Estatal de Evaluación de Políticas Públicas</t>
        </is>
      </c>
      <c r="C424" s="20" t="inlineStr">
        <is>
          <t>Clasificación: destino de sus funciones</t>
        </is>
      </c>
      <c r="D424" s="20" t="inlineStr">
        <is>
          <t>CD</t>
        </is>
      </c>
      <c r="E424" s="20" t="n"/>
      <c r="F424" s="20" t="inlineStr">
        <is>
          <t>Autoridad Independiente de Responsabilidad Fiscal (AIReF)</t>
        </is>
      </c>
    </row>
    <row r="425">
      <c r="A425" s="20" t="n">
        <v>45</v>
      </c>
      <c r="B425" s="20" t="inlineStr">
        <is>
          <t>Agencia Estatal de Evaluación de Políticas Públicas</t>
        </is>
      </c>
      <c r="C425" s="20" t="inlineStr">
        <is>
          <t>Tema funcional</t>
        </is>
      </c>
      <c r="D425" s="20" t="inlineStr">
        <is>
          <t>CE</t>
        </is>
      </c>
      <c r="E425" s="20" t="n"/>
      <c r="F425" s="20" t="inlineStr">
        <is>
          <t>Evaluación de políticas públicas</t>
        </is>
      </c>
    </row>
    <row r="426">
      <c r="A426" s="20" t="n">
        <v>45</v>
      </c>
      <c r="B426" s="20" t="inlineStr">
        <is>
          <t>Agencia Estatal de Evaluación de Políticas Públicas</t>
        </is>
      </c>
      <c r="C426" s="20" t="inlineStr">
        <is>
          <t>Organismos del mismo tema (Estado + CCAA, verificados)</t>
        </is>
      </c>
      <c r="D426" s="20" t="inlineStr">
        <is>
          <t>CF</t>
        </is>
      </c>
      <c r="E426" s="20" t="n"/>
      <c r="F426" s="20" t="n">
        <v>3</v>
      </c>
    </row>
    <row r="427">
      <c r="A427" s="20" t="n">
        <v>46</v>
      </c>
      <c r="B427" s="20" t="inlineStr">
        <is>
          <t>Agencia Estatal de Salud Pública (AESAP)</t>
        </is>
      </c>
      <c r="C427" s="20" t="inlineStr">
        <is>
          <t>Clasificación: útil / no útil</t>
        </is>
      </c>
      <c r="D427" s="20" t="inlineStr">
        <is>
          <t>BV</t>
        </is>
      </c>
      <c r="E427" s="20" t="n"/>
      <c r="F427" s="20" t="inlineStr">
        <is>
          <t>Sin decisión en el P100</t>
        </is>
      </c>
    </row>
    <row r="428">
      <c r="A428" s="20" t="n">
        <v>46</v>
      </c>
      <c r="B428" s="20" t="inlineStr">
        <is>
          <t>Agencia Estatal de Salud Pública (AESAP)</t>
        </is>
      </c>
      <c r="C428" s="20" t="inlineStr">
        <is>
          <t>Clasificación: veredicto</t>
        </is>
      </c>
      <c r="D428" s="20" t="inlineStr">
        <is>
          <t>BW</t>
        </is>
      </c>
      <c r="E428" s="20" t="n"/>
      <c r="F428" s="20" t="inlineStr">
        <is>
          <t>Pendiente de decisión</t>
        </is>
      </c>
    </row>
    <row r="429">
      <c r="A429" s="20" t="n">
        <v>46</v>
      </c>
      <c r="B429" s="20" t="inlineStr">
        <is>
          <t>Agencia Estatal de Salud Pública (AESAP)</t>
        </is>
      </c>
      <c r="C429" s="20" t="inlineStr">
        <is>
          <t>Clasificación: función</t>
        </is>
      </c>
      <c r="D429" s="20" t="inlineStr">
        <is>
          <t>BX</t>
        </is>
      </c>
      <c r="E429" s="20" t="n"/>
      <c r="F429" s="20" t="inlineStr">
        <is>
          <t>Servicio público directo</t>
        </is>
      </c>
    </row>
    <row r="430">
      <c r="A430" s="20" t="n">
        <v>46</v>
      </c>
      <c r="B430" s="20" t="inlineStr">
        <is>
          <t>Agencia Estatal de Salud Pública (AESAP)</t>
        </is>
      </c>
      <c r="C430" s="20" t="inlineStr">
        <is>
          <t>Clasificación: duplicidad</t>
        </is>
      </c>
      <c r="D430" s="20" t="inlineStr">
        <is>
          <t>BY</t>
        </is>
      </c>
      <c r="E430" s="20" t="n"/>
      <c r="F430" s="20" t="inlineStr">
        <is>
          <t>Organismo estatal de referencia. 4 comunidades tienen el suyo propio; 5 organismos sobre este tema entre el Estado y las CCAA (verificados).</t>
        </is>
      </c>
    </row>
    <row r="431">
      <c r="A431" s="20" t="n">
        <v>46</v>
      </c>
      <c r="B431" s="20" t="inlineStr">
        <is>
          <t>Agencia Estatal de Salud Pública (AESAP)</t>
        </is>
      </c>
      <c r="C431" s="20" t="inlineStr">
        <is>
          <t>Clasificación: exigida por la UE</t>
        </is>
      </c>
      <c r="D431" s="20" t="inlineStr">
        <is>
          <t>BZ</t>
        </is>
      </c>
      <c r="E431" s="20" t="n"/>
      <c r="F431" s="20" t="inlineStr">
        <is>
          <t>No</t>
        </is>
      </c>
    </row>
    <row r="432">
      <c r="A432" s="20" t="n">
        <v>46</v>
      </c>
      <c r="B432" s="20" t="inlineStr">
        <is>
          <t>Agencia Estatal de Salud Pública (AESAP)</t>
        </is>
      </c>
      <c r="C432" s="20" t="inlineStr">
        <is>
          <t>Clasificación: actividad reciente</t>
        </is>
      </c>
      <c r="D432" s="20" t="inlineStr">
        <is>
          <t>CA</t>
        </is>
      </c>
      <c r="E432" s="20" t="n"/>
      <c r="F432" s="20" t="inlineStr">
        <is>
          <t>No acreditada</t>
        </is>
      </c>
    </row>
    <row r="433">
      <c r="A433" s="20" t="n">
        <v>46</v>
      </c>
      <c r="B433" s="20" t="inlineStr">
        <is>
          <t>Agencia Estatal de Salud Pública (AESAP)</t>
        </is>
      </c>
      <c r="C433" s="20" t="inlineStr">
        <is>
          <t>Clasificación: motivo</t>
        </is>
      </c>
      <c r="D433" s="20" t="inlineStr">
        <is>
          <t>CB</t>
        </is>
      </c>
      <c r="E433" s="20" t="n"/>
      <c r="F433" s="20" t="inlineStr">
        <is>
          <t>Agencia de salud pública creada en 2025, sin presupuesto ni actividad acreditada; el Ministerio ya tiene vigilancia y alertas sanitarias.</t>
        </is>
      </c>
    </row>
    <row r="434">
      <c r="A434" s="20" t="n">
        <v>46</v>
      </c>
      <c r="B434" s="20" t="inlineStr">
        <is>
          <t>Agencia Estatal de Salud Pública (AESAP)</t>
        </is>
      </c>
      <c r="C434" s="20" t="inlineStr">
        <is>
          <t>Clasificación: base en el P100</t>
        </is>
      </c>
      <c r="D434" s="20" t="inlineStr">
        <is>
          <t>CC</t>
        </is>
      </c>
      <c r="E434" s="20" t="n"/>
      <c r="F434" s="20" t="inlineStr">
        <is>
          <t>El P100 aún no tiene apartado de Sanidad</t>
        </is>
      </c>
    </row>
    <row r="435">
      <c r="A435" s="20" t="n">
        <v>46</v>
      </c>
      <c r="B435" s="20" t="inlineStr">
        <is>
          <t>Agencia Estatal de Salud Pública (AESAP)</t>
        </is>
      </c>
      <c r="C435" s="20" t="inlineStr">
        <is>
          <t>Clasificación: destino de sus funciones</t>
        </is>
      </c>
      <c r="D435" s="20" t="inlineStr">
        <is>
          <t>CD</t>
        </is>
      </c>
      <c r="E435" s="20" t="n"/>
      <c r="F435" s="20" t="inlineStr">
        <is>
          <t>Ministerio de Sanidad (criterio Costes del Estado 9)</t>
        </is>
      </c>
    </row>
    <row r="436">
      <c r="A436" s="20" t="n">
        <v>46</v>
      </c>
      <c r="B436" s="20" t="inlineStr">
        <is>
          <t>Agencia Estatal de Salud Pública (AESAP)</t>
        </is>
      </c>
      <c r="C436" s="20" t="inlineStr">
        <is>
          <t>Tema funcional</t>
        </is>
      </c>
      <c r="D436" s="20" t="inlineStr">
        <is>
          <t>CE</t>
        </is>
      </c>
      <c r="E436" s="20" t="n"/>
      <c r="F436" s="20" t="inlineStr">
        <is>
          <t>Agencias de salud pública</t>
        </is>
      </c>
    </row>
    <row r="437">
      <c r="A437" s="20" t="n">
        <v>46</v>
      </c>
      <c r="B437" s="20" t="inlineStr">
        <is>
          <t>Agencia Estatal de Salud Pública (AESAP)</t>
        </is>
      </c>
      <c r="C437" s="20" t="inlineStr">
        <is>
          <t>Organismos del mismo tema (Estado + CCAA, verificados)</t>
        </is>
      </c>
      <c r="D437" s="20" t="inlineStr">
        <is>
          <t>CF</t>
        </is>
      </c>
      <c r="E437" s="20" t="n"/>
      <c r="F437" s="20" t="n">
        <v>5</v>
      </c>
    </row>
    <row r="438">
      <c r="A438" s="20" t="n">
        <v>47</v>
      </c>
      <c r="B438" s="20" t="inlineStr">
        <is>
          <t>Observatorio del Comercio 4.0</t>
        </is>
      </c>
      <c r="C438" s="20" t="inlineStr">
        <is>
          <t>Clasificación: útil / no útil</t>
        </is>
      </c>
      <c r="D438" s="20" t="inlineStr">
        <is>
          <t>BV</t>
        </is>
      </c>
      <c r="E438" s="20" t="n"/>
      <c r="F438" s="20" t="inlineStr">
        <is>
          <t>No útil</t>
        </is>
      </c>
    </row>
    <row r="439">
      <c r="A439" s="20" t="n">
        <v>47</v>
      </c>
      <c r="B439" s="20" t="inlineStr">
        <is>
          <t>Observatorio del Comercio 4.0</t>
        </is>
      </c>
      <c r="C439" s="20" t="inlineStr">
        <is>
          <t>Clasificación: veredicto</t>
        </is>
      </c>
      <c r="D439" s="20" t="inlineStr">
        <is>
          <t>BW</t>
        </is>
      </c>
      <c r="E439" s="20" t="n"/>
      <c r="F439" s="20" t="inlineStr">
        <is>
          <t>Suprimir</t>
        </is>
      </c>
    </row>
    <row r="440">
      <c r="A440" s="20" t="n">
        <v>47</v>
      </c>
      <c r="B440" s="20" t="inlineStr">
        <is>
          <t>Observatorio del Comercio 4.0</t>
        </is>
      </c>
      <c r="C440" s="20" t="inlineStr">
        <is>
          <t>Clasificación: función</t>
        </is>
      </c>
      <c r="D440" s="20" t="inlineStr">
        <is>
          <t>BX</t>
        </is>
      </c>
      <c r="E440" s="20" t="n"/>
      <c r="F440" s="20" t="inlineStr">
        <is>
          <t>Consultivo o participación</t>
        </is>
      </c>
    </row>
    <row r="441">
      <c r="A441" s="20" t="n">
        <v>47</v>
      </c>
      <c r="B441" s="20" t="inlineStr">
        <is>
          <t>Observatorio del Comercio 4.0</t>
        </is>
      </c>
      <c r="C441" s="20" t="inlineStr">
        <is>
          <t>Clasificación: exigida por la UE</t>
        </is>
      </c>
      <c r="D441" s="20" t="inlineStr">
        <is>
          <t>BZ</t>
        </is>
      </c>
      <c r="E441" s="20" t="n"/>
      <c r="F441" s="20" t="inlineStr">
        <is>
          <t>No</t>
        </is>
      </c>
    </row>
    <row r="442">
      <c r="A442" s="20" t="n">
        <v>47</v>
      </c>
      <c r="B442" s="20" t="inlineStr">
        <is>
          <t>Observatorio del Comercio 4.0</t>
        </is>
      </c>
      <c r="C442" s="20" t="inlineStr">
        <is>
          <t>Clasificación: actividad reciente</t>
        </is>
      </c>
      <c r="D442" s="20" t="inlineStr">
        <is>
          <t>CA</t>
        </is>
      </c>
      <c r="E442" s="20" t="n"/>
      <c r="F442" s="20" t="inlineStr">
        <is>
          <t>Parcial</t>
        </is>
      </c>
    </row>
    <row r="443">
      <c r="A443" s="20" t="n">
        <v>47</v>
      </c>
      <c r="B443" s="20" t="inlineStr">
        <is>
          <t>Observatorio del Comercio 4.0</t>
        </is>
      </c>
      <c r="C443" s="20" t="inlineStr">
        <is>
          <t>Clasificación: motivo</t>
        </is>
      </c>
      <c r="D443" s="20" t="inlineStr">
        <is>
          <t>CB</t>
        </is>
      </c>
      <c r="E443" s="20" t="n"/>
      <c r="F443" s="20" t="inlineStr">
        <is>
          <t>Observatorio, consejo o comisión: el P100 los cierra salvo que su ministerio demuestre que su trabajo cambia decisiones o mejora un servicio; publicar informes no cuenta.</t>
        </is>
      </c>
    </row>
    <row r="444">
      <c r="A444" s="20" t="n">
        <v>47</v>
      </c>
      <c r="B444" s="20" t="inlineStr">
        <is>
          <t>Observatorio del Comercio 4.0</t>
        </is>
      </c>
      <c r="C444" s="20" t="inlineStr">
        <is>
          <t>Clasificación: base en el P100</t>
        </is>
      </c>
      <c r="D444" s="20" t="inlineStr">
        <is>
          <t>CC</t>
        </is>
      </c>
      <c r="E444" s="20" t="n"/>
      <c r="F444" s="20" t="inlineStr">
        <is>
          <t>Explícito en el P100: Costes del Estado 2</t>
        </is>
      </c>
    </row>
    <row r="445">
      <c r="A445" s="20" t="n">
        <v>47</v>
      </c>
      <c r="B445" s="20" t="inlineStr">
        <is>
          <t>Observatorio del Comercio 4.0</t>
        </is>
      </c>
      <c r="C445" s="20" t="inlineStr">
        <is>
          <t>Clasificación: destino de sus funciones</t>
        </is>
      </c>
      <c r="D445" s="20" t="inlineStr">
        <is>
          <t>CD</t>
        </is>
      </c>
      <c r="E445" s="20" t="n"/>
      <c r="F445" s="20" t="inlineStr">
        <is>
          <t>Estructura ordinaria del ministerio, si alguna función resultara imprescindible</t>
        </is>
      </c>
    </row>
    <row r="446">
      <c r="A446" s="20" t="n">
        <v>47</v>
      </c>
      <c r="B446" s="20" t="inlineStr">
        <is>
          <t>Observatorio del Comercio 4.0</t>
        </is>
      </c>
      <c r="C446" s="20" t="inlineStr">
        <is>
          <t>Tema funcional</t>
        </is>
      </c>
      <c r="D446" s="20" t="inlineStr">
        <is>
          <t>CE</t>
        </is>
      </c>
      <c r="E446" s="20" t="n"/>
      <c r="F446" s="20" t="inlineStr">
        <is>
          <t>Comercio</t>
        </is>
      </c>
    </row>
    <row r="447">
      <c r="A447" s="20" t="n">
        <v>47</v>
      </c>
      <c r="B447" s="20" t="inlineStr">
        <is>
          <t>Observatorio del Comercio 4.0</t>
        </is>
      </c>
      <c r="C447" s="20" t="inlineStr">
        <is>
          <t>Coste de apoyo (sin presupuesto propio): unidad, vocales y dietas</t>
        </is>
      </c>
      <c r="D447" s="20" t="inlineStr">
        <is>
          <t>CG</t>
        </is>
      </c>
      <c r="E447" s="20" t="n"/>
      <c r="F447" s="20" t="inlineStr">
        <is>
          <t>Apoyo: Secretaría: titular de la SG de Apoyo a la Competitividad del Pequeño Comercio (DG de Política Comercial), que gestiona los grupos de trabajo (apdos. Cuarto y Sexto); medios personales y materiales del departamento (apdo. Noveno). vocales: 20.</t>
        </is>
      </c>
    </row>
    <row r="448">
      <c r="A448" s="20" t="n">
        <v>48</v>
      </c>
      <c r="B448" s="20" t="inlineStr">
        <is>
          <t>Observatorio Mujeres, Ciencia e Innovación</t>
        </is>
      </c>
      <c r="C448" s="20" t="inlineStr">
        <is>
          <t>Fuentes de la ficha</t>
        </is>
      </c>
      <c r="D448" s="20" t="inlineStr">
        <is>
          <t>Z</t>
        </is>
      </c>
      <c r="E448" s="20" t="inlineStr">
        <is>
          <t>https://www.boe.es/boe/dias/2018/12/11/pdfs/BOE-A-2018-16905.pdf
https://www.boe.es/buscar/act.php?id=BOE-A-2020-13026</t>
        </is>
      </c>
      <c r="F448" s="20" t="inlineStr">
        <is>
          <t>https://www.boe.es/boe/dias/2018/12/11/pdfs/BOE-A-2018-16905.pdf
https://www.boe.es/buscar/act.php?id=BOE-A-2020-13026
https://www.boe.es/eli/es/rd/2020/10/27/938</t>
        </is>
      </c>
    </row>
    <row r="449">
      <c r="A449" s="20" t="n">
        <v>48</v>
      </c>
      <c r="B449" s="20" t="inlineStr">
        <is>
          <t>Observatorio Mujeres, Ciencia e Innovación</t>
        </is>
      </c>
      <c r="C449" s="20" t="inlineStr">
        <is>
          <t>Clasificación: útil / no útil</t>
        </is>
      </c>
      <c r="D449" s="20" t="inlineStr">
        <is>
          <t>BV</t>
        </is>
      </c>
      <c r="E449" s="20" t="n"/>
      <c r="F449" s="20" t="inlineStr">
        <is>
          <t>No útil</t>
        </is>
      </c>
    </row>
    <row r="450">
      <c r="A450" s="20" t="n">
        <v>48</v>
      </c>
      <c r="B450" s="20" t="inlineStr">
        <is>
          <t>Observatorio Mujeres, Ciencia e Innovación</t>
        </is>
      </c>
      <c r="C450" s="20" t="inlineStr">
        <is>
          <t>Clasificación: veredicto</t>
        </is>
      </c>
      <c r="D450" s="20" t="inlineStr">
        <is>
          <t>BW</t>
        </is>
      </c>
      <c r="E450" s="20" t="n"/>
      <c r="F450" s="20" t="inlineStr">
        <is>
          <t>Suprimir</t>
        </is>
      </c>
    </row>
    <row r="451">
      <c r="A451" s="20" t="n">
        <v>48</v>
      </c>
      <c r="B451" s="20" t="inlineStr">
        <is>
          <t>Observatorio Mujeres, Ciencia e Innovación</t>
        </is>
      </c>
      <c r="C451" s="20" t="inlineStr">
        <is>
          <t>Clasificación: función</t>
        </is>
      </c>
      <c r="D451" s="20" t="inlineStr">
        <is>
          <t>BX</t>
        </is>
      </c>
      <c r="E451" s="20" t="n"/>
      <c r="F451" s="20" t="inlineStr">
        <is>
          <t>Consultivo o participación</t>
        </is>
      </c>
    </row>
    <row r="452">
      <c r="A452" s="20" t="n">
        <v>48</v>
      </c>
      <c r="B452" s="20" t="inlineStr">
        <is>
          <t>Observatorio Mujeres, Ciencia e Innovación</t>
        </is>
      </c>
      <c r="C452" s="20" t="inlineStr">
        <is>
          <t>Clasificación: exigida por la UE</t>
        </is>
      </c>
      <c r="D452" s="20" t="inlineStr">
        <is>
          <t>BZ</t>
        </is>
      </c>
      <c r="E452" s="20" t="n"/>
      <c r="F452" s="20" t="inlineStr">
        <is>
          <t>No</t>
        </is>
      </c>
    </row>
    <row r="453">
      <c r="A453" s="20" t="n">
        <v>48</v>
      </c>
      <c r="B453" s="20" t="inlineStr">
        <is>
          <t>Observatorio Mujeres, Ciencia e Innovación</t>
        </is>
      </c>
      <c r="C453" s="20" t="inlineStr">
        <is>
          <t>Clasificación: actividad reciente</t>
        </is>
      </c>
      <c r="D453" s="20" t="inlineStr">
        <is>
          <t>CA</t>
        </is>
      </c>
      <c r="E453" s="20" t="n"/>
      <c r="F453" s="20" t="inlineStr">
        <is>
          <t>No acreditada</t>
        </is>
      </c>
    </row>
    <row r="454">
      <c r="A454" s="20" t="n">
        <v>48</v>
      </c>
      <c r="B454" s="20" t="inlineStr">
        <is>
          <t>Observatorio Mujeres, Ciencia e Innovación</t>
        </is>
      </c>
      <c r="C454" s="20" t="inlineStr">
        <is>
          <t>Clasificación: motivo</t>
        </is>
      </c>
      <c r="D454" s="20" t="inlineStr">
        <is>
          <t>CB</t>
        </is>
      </c>
      <c r="E454" s="20" t="n"/>
      <c r="F454" s="20" t="inlineStr">
        <is>
          <t>Observatorio, consejo o comisión: el P100 los cierra salvo que su ministerio demuestre que su trabajo cambia decisiones o mejora un servicio; publicar informes no cuenta.</t>
        </is>
      </c>
    </row>
    <row r="455">
      <c r="A455" s="20" t="n">
        <v>48</v>
      </c>
      <c r="B455" s="20" t="inlineStr">
        <is>
          <t>Observatorio Mujeres, Ciencia e Innovación</t>
        </is>
      </c>
      <c r="C455" s="20" t="inlineStr">
        <is>
          <t>Clasificación: base en el P100</t>
        </is>
      </c>
      <c r="D455" s="20" t="inlineStr">
        <is>
          <t>CC</t>
        </is>
      </c>
      <c r="E455" s="20" t="n"/>
      <c r="F455" s="20" t="inlineStr">
        <is>
          <t>Explícito en el P100: Costes del Estado 2</t>
        </is>
      </c>
    </row>
    <row r="456">
      <c r="A456" s="20" t="n">
        <v>48</v>
      </c>
      <c r="B456" s="20" t="inlineStr">
        <is>
          <t>Observatorio Mujeres, Ciencia e Innovación</t>
        </is>
      </c>
      <c r="C456" s="20" t="inlineStr">
        <is>
          <t>Clasificación: destino de sus funciones</t>
        </is>
      </c>
      <c r="D456" s="20" t="inlineStr">
        <is>
          <t>CD</t>
        </is>
      </c>
      <c r="E456" s="20" t="n"/>
      <c r="F456" s="20" t="inlineStr">
        <is>
          <t>Estructura ordinaria del ministerio, si alguna función resultara imprescindible</t>
        </is>
      </c>
    </row>
    <row r="457">
      <c r="A457" s="20" t="n">
        <v>48</v>
      </c>
      <c r="B457" s="20" t="inlineStr">
        <is>
          <t>Observatorio Mujeres, Ciencia e Innovación</t>
        </is>
      </c>
      <c r="C457" s="20" t="inlineStr">
        <is>
          <t>Tema funcional</t>
        </is>
      </c>
      <c r="D457" s="20" t="inlineStr">
        <is>
          <t>CE</t>
        </is>
      </c>
      <c r="E457" s="20" t="n"/>
      <c r="F457" s="20" t="inlineStr">
        <is>
          <t>Igualdad (sectorial)</t>
        </is>
      </c>
    </row>
    <row r="458">
      <c r="A458" s="20" t="n">
        <v>48</v>
      </c>
      <c r="B458" s="20" t="inlineStr">
        <is>
          <t>Observatorio Mujeres, Ciencia e Innovación</t>
        </is>
      </c>
      <c r="C458" s="20" t="inlineStr">
        <is>
          <t>Coste de apoyo (sin presupuesto propio): unidad, vocales y dietas</t>
        </is>
      </c>
      <c r="D458" s="20" t="inlineStr">
        <is>
          <t>CG</t>
        </is>
      </c>
      <c r="E458" s="20" t="n"/>
      <c r="F458" s="20" t="inlineStr">
        <is>
          <t>Apoyo: Gabinete de la persona titular del Ministerio: secretaría a cargo de un funcionario de carrera de nivel 28 o superior (art. 4.2) y vocalía de la Unidad de Mujeres y Ciencia (art. 4.1.i); medios del Ministerio (DA única RD 938/2020). vocales: 18.</t>
        </is>
      </c>
    </row>
    <row r="459">
      <c r="A459" s="20" t="n">
        <v>49</v>
      </c>
      <c r="B459" s="20" t="inlineStr">
        <is>
          <t>Observatorio para la lucha contra el fraude a la Seguridad Social</t>
        </is>
      </c>
      <c r="C459" s="20" t="inlineStr">
        <is>
          <t>Fuentes de la ficha</t>
        </is>
      </c>
      <c r="D459" s="20" t="inlineStr">
        <is>
          <t>Z</t>
        </is>
      </c>
      <c r="E459" s="20" t="inlineStr">
        <is>
          <t>https://www.boe.es/diario_boe/txt.php?id=BOE-A-2019-9215
https://www.seg-social.es/wps/portal/wss/internet/Trabajadores/CotizacionRecaudacionTrabajadores/9896/lfraude2</t>
        </is>
      </c>
      <c r="F459" s="20" t="inlineStr">
        <is>
          <t>https://www.boe.es/diario_boe/txt.php?id=BOE-A-2019-9215
https://www.seg-social.es/wps/portal/wss/internet/Trabajadores/CotizacionRecaudacionTrabajadores/9896/lfraude2
https://www.boe.es/eli/es/o/2019/06/05/tms667/con</t>
        </is>
      </c>
    </row>
    <row r="460">
      <c r="A460" s="20" t="n">
        <v>49</v>
      </c>
      <c r="B460" s="20" t="inlineStr">
        <is>
          <t>Observatorio para la lucha contra el fraude a la Seguridad Social</t>
        </is>
      </c>
      <c r="C460" s="20" t="inlineStr">
        <is>
          <t>Clasificación: útil / no útil</t>
        </is>
      </c>
      <c r="D460" s="20" t="inlineStr">
        <is>
          <t>BV</t>
        </is>
      </c>
      <c r="E460" s="20" t="n"/>
      <c r="F460" s="20" t="inlineStr">
        <is>
          <t>No útil</t>
        </is>
      </c>
    </row>
    <row r="461">
      <c r="A461" s="20" t="n">
        <v>49</v>
      </c>
      <c r="B461" s="20" t="inlineStr">
        <is>
          <t>Observatorio para la lucha contra el fraude a la Seguridad Social</t>
        </is>
      </c>
      <c r="C461" s="20" t="inlineStr">
        <is>
          <t>Clasificación: veredicto</t>
        </is>
      </c>
      <c r="D461" s="20" t="inlineStr">
        <is>
          <t>BW</t>
        </is>
      </c>
      <c r="E461" s="20" t="n"/>
      <c r="F461" s="20" t="inlineStr">
        <is>
          <t>Suprimir</t>
        </is>
      </c>
    </row>
    <row r="462">
      <c r="A462" s="20" t="n">
        <v>49</v>
      </c>
      <c r="B462" s="20" t="inlineStr">
        <is>
          <t>Observatorio para la lucha contra el fraude a la Seguridad Social</t>
        </is>
      </c>
      <c r="C462" s="20" t="inlineStr">
        <is>
          <t>Clasificación: función</t>
        </is>
      </c>
      <c r="D462" s="20" t="inlineStr">
        <is>
          <t>BX</t>
        </is>
      </c>
      <c r="E462" s="20" t="n"/>
      <c r="F462" s="20" t="inlineStr">
        <is>
          <t>Consultivo o participación</t>
        </is>
      </c>
    </row>
    <row r="463">
      <c r="A463" s="20" t="n">
        <v>49</v>
      </c>
      <c r="B463" s="20" t="inlineStr">
        <is>
          <t>Observatorio para la lucha contra el fraude a la Seguridad Social</t>
        </is>
      </c>
      <c r="C463" s="20" t="inlineStr">
        <is>
          <t>Clasificación: exigida por la UE</t>
        </is>
      </c>
      <c r="D463" s="20" t="inlineStr">
        <is>
          <t>BZ</t>
        </is>
      </c>
      <c r="E463" s="20" t="n"/>
      <c r="F463" s="20" t="inlineStr">
        <is>
          <t>No</t>
        </is>
      </c>
    </row>
    <row r="464">
      <c r="A464" s="20" t="n">
        <v>49</v>
      </c>
      <c r="B464" s="20" t="inlineStr">
        <is>
          <t>Observatorio para la lucha contra el fraude a la Seguridad Social</t>
        </is>
      </c>
      <c r="C464" s="20" t="inlineStr">
        <is>
          <t>Clasificación: actividad reciente</t>
        </is>
      </c>
      <c r="D464" s="20" t="inlineStr">
        <is>
          <t>CA</t>
        </is>
      </c>
      <c r="E464" s="20" t="n"/>
      <c r="F464" s="20" t="inlineStr">
        <is>
          <t>No acreditada</t>
        </is>
      </c>
    </row>
    <row r="465">
      <c r="A465" s="20" t="n">
        <v>49</v>
      </c>
      <c r="B465" s="20" t="inlineStr">
        <is>
          <t>Observatorio para la lucha contra el fraude a la Seguridad Social</t>
        </is>
      </c>
      <c r="C465" s="20" t="inlineStr">
        <is>
          <t>Clasificación: motivo</t>
        </is>
      </c>
      <c r="D465" s="20" t="inlineStr">
        <is>
          <t>CB</t>
        </is>
      </c>
      <c r="E465" s="20" t="n"/>
      <c r="F465" s="20" t="inlineStr">
        <is>
          <t>Observatorio, consejo o comisión: el P100 los cierra salvo que su ministerio demuestre que su trabajo cambia decisiones o mejora un servicio; publicar informes no cuenta.</t>
        </is>
      </c>
    </row>
    <row r="466">
      <c r="A466" s="20" t="n">
        <v>49</v>
      </c>
      <c r="B466" s="20" t="inlineStr">
        <is>
          <t>Observatorio para la lucha contra el fraude a la Seguridad Social</t>
        </is>
      </c>
      <c r="C466" s="20" t="inlineStr">
        <is>
          <t>Clasificación: base en el P100</t>
        </is>
      </c>
      <c r="D466" s="20" t="inlineStr">
        <is>
          <t>CC</t>
        </is>
      </c>
      <c r="E466" s="20" t="n"/>
      <c r="F466" s="20" t="inlineStr">
        <is>
          <t>Explícito en el P100: Costes del Estado 2</t>
        </is>
      </c>
    </row>
    <row r="467">
      <c r="A467" s="20" t="n">
        <v>49</v>
      </c>
      <c r="B467" s="20" t="inlineStr">
        <is>
          <t>Observatorio para la lucha contra el fraude a la Seguridad Social</t>
        </is>
      </c>
      <c r="C467" s="20" t="inlineStr">
        <is>
          <t>Clasificación: destino de sus funciones</t>
        </is>
      </c>
      <c r="D467" s="20" t="inlineStr">
        <is>
          <t>CD</t>
        </is>
      </c>
      <c r="E467" s="20" t="n"/>
      <c r="F467" s="20" t="inlineStr">
        <is>
          <t>Estructura ordinaria del ministerio, si alguna función resultara imprescindible</t>
        </is>
      </c>
    </row>
    <row r="468">
      <c r="A468" s="20" t="n">
        <v>49</v>
      </c>
      <c r="B468" s="20" t="inlineStr">
        <is>
          <t>Observatorio para la lucha contra el fraude a la Seguridad Social</t>
        </is>
      </c>
      <c r="C468" s="20" t="inlineStr">
        <is>
          <t>Tema funcional</t>
        </is>
      </c>
      <c r="D468" s="20" t="inlineStr">
        <is>
          <t>CE</t>
        </is>
      </c>
      <c r="E468" s="20" t="n"/>
      <c r="F468" s="20" t="inlineStr">
        <is>
          <t>Fraude a la Seguridad Social</t>
        </is>
      </c>
    </row>
    <row r="469">
      <c r="A469" s="20" t="n">
        <v>49</v>
      </c>
      <c r="B469" s="20" t="inlineStr">
        <is>
          <t>Observatorio para la lucha contra el fraude a la Seguridad Social</t>
        </is>
      </c>
      <c r="C469" s="20" t="inlineStr">
        <is>
          <t>Coste de apoyo (sin presupuesto propio): unidad, vocales y dietas</t>
        </is>
      </c>
      <c r="D469" s="20" t="inlineStr">
        <is>
          <t>CG</t>
        </is>
      </c>
      <c r="E469" s="20" t="n"/>
      <c r="F469" s="20" t="inlineStr">
        <is>
          <t>Apoyo: TGSS: secretaría del Pleno a cargo del titular de la SG de Recaudación en Periodo Voluntario (art. 6.1.2.º) y, en las comisiones provinciales, de las subdirecciones provinciales de recaudación (art. 7.1.2.º); medios actuales sin aumento de dotaciones (DA única). vocales: 14.</t>
        </is>
      </c>
    </row>
    <row r="470">
      <c r="A470" s="20" t="n">
        <v>50</v>
      </c>
      <c r="B470" s="20" t="inlineStr">
        <is>
          <t>Observatorio de Igualdad de Género en el ámbito de la Cultura</t>
        </is>
      </c>
      <c r="C470" s="20" t="inlineStr">
        <is>
          <t>Clasificación: útil / no útil</t>
        </is>
      </c>
      <c r="D470" s="20" t="inlineStr">
        <is>
          <t>BV</t>
        </is>
      </c>
      <c r="E470" s="20" t="n"/>
      <c r="F470" s="20" t="inlineStr">
        <is>
          <t>No útil</t>
        </is>
      </c>
    </row>
    <row r="471">
      <c r="A471" s="20" t="n">
        <v>50</v>
      </c>
      <c r="B471" s="20" t="inlineStr">
        <is>
          <t>Observatorio de Igualdad de Género en el ámbito de la Cultura</t>
        </is>
      </c>
      <c r="C471" s="20" t="inlineStr">
        <is>
          <t>Clasificación: veredicto</t>
        </is>
      </c>
      <c r="D471" s="20" t="inlineStr">
        <is>
          <t>BW</t>
        </is>
      </c>
      <c r="E471" s="20" t="n"/>
      <c r="F471" s="20" t="inlineStr">
        <is>
          <t>Suprimir</t>
        </is>
      </c>
    </row>
    <row r="472">
      <c r="A472" s="20" t="n">
        <v>50</v>
      </c>
      <c r="B472" s="20" t="inlineStr">
        <is>
          <t>Observatorio de Igualdad de Género en el ámbito de la Cultura</t>
        </is>
      </c>
      <c r="C472" s="20" t="inlineStr">
        <is>
          <t>Clasificación: función</t>
        </is>
      </c>
      <c r="D472" s="20" t="inlineStr">
        <is>
          <t>BX</t>
        </is>
      </c>
      <c r="E472" s="20" t="n"/>
      <c r="F472" s="20" t="inlineStr">
        <is>
          <t>Consultivo o participación</t>
        </is>
      </c>
    </row>
    <row r="473">
      <c r="A473" s="20" t="n">
        <v>50</v>
      </c>
      <c r="B473" s="20" t="inlineStr">
        <is>
          <t>Observatorio de Igualdad de Género en el ámbito de la Cultura</t>
        </is>
      </c>
      <c r="C473" s="20" t="inlineStr">
        <is>
          <t>Clasificación: exigida por la UE</t>
        </is>
      </c>
      <c r="D473" s="20" t="inlineStr">
        <is>
          <t>BZ</t>
        </is>
      </c>
      <c r="E473" s="20" t="n"/>
      <c r="F473" s="20" t="inlineStr">
        <is>
          <t>No</t>
        </is>
      </c>
    </row>
    <row r="474">
      <c r="A474" s="20" t="n">
        <v>50</v>
      </c>
      <c r="B474" s="20" t="inlineStr">
        <is>
          <t>Observatorio de Igualdad de Género en el ámbito de la Cultura</t>
        </is>
      </c>
      <c r="C474" s="20" t="inlineStr">
        <is>
          <t>Clasificación: actividad reciente</t>
        </is>
      </c>
      <c r="D474" s="20" t="inlineStr">
        <is>
          <t>CA</t>
        </is>
      </c>
      <c r="E474" s="20" t="n"/>
      <c r="F474" s="20" t="inlineStr">
        <is>
          <t>Parcial</t>
        </is>
      </c>
    </row>
    <row r="475">
      <c r="A475" s="20" t="n">
        <v>50</v>
      </c>
      <c r="B475" s="20" t="inlineStr">
        <is>
          <t>Observatorio de Igualdad de Género en el ámbito de la Cultura</t>
        </is>
      </c>
      <c r="C475" s="20" t="inlineStr">
        <is>
          <t>Clasificación: motivo</t>
        </is>
      </c>
      <c r="D475" s="20" t="inlineStr">
        <is>
          <t>CB</t>
        </is>
      </c>
      <c r="E475" s="20" t="n"/>
      <c r="F475" s="20" t="inlineStr">
        <is>
          <t>Observatorio, consejo o comisión: el P100 los cierra salvo que su ministerio demuestre que su trabajo cambia decisiones o mejora un servicio; publicar informes no cuenta.</t>
        </is>
      </c>
    </row>
    <row r="476">
      <c r="A476" s="20" t="n">
        <v>50</v>
      </c>
      <c r="B476" s="20" t="inlineStr">
        <is>
          <t>Observatorio de Igualdad de Género en el ámbito de la Cultura</t>
        </is>
      </c>
      <c r="C476" s="20" t="inlineStr">
        <is>
          <t>Clasificación: base en el P100</t>
        </is>
      </c>
      <c r="D476" s="20" t="inlineStr">
        <is>
          <t>CC</t>
        </is>
      </c>
      <c r="E476" s="20" t="n"/>
      <c r="F476" s="20" t="inlineStr">
        <is>
          <t>Explícito en el P100: Costes del Estado 2</t>
        </is>
      </c>
    </row>
    <row r="477">
      <c r="A477" s="20" t="n">
        <v>50</v>
      </c>
      <c r="B477" s="20" t="inlineStr">
        <is>
          <t>Observatorio de Igualdad de Género en el ámbito de la Cultura</t>
        </is>
      </c>
      <c r="C477" s="20" t="inlineStr">
        <is>
          <t>Clasificación: destino de sus funciones</t>
        </is>
      </c>
      <c r="D477" s="20" t="inlineStr">
        <is>
          <t>CD</t>
        </is>
      </c>
      <c r="E477" s="20" t="n"/>
      <c r="F477" s="20" t="inlineStr">
        <is>
          <t>Estructura ordinaria del ministerio, si alguna función resultara imprescindible</t>
        </is>
      </c>
    </row>
    <row r="478">
      <c r="A478" s="20" t="n">
        <v>50</v>
      </c>
      <c r="B478" s="20" t="inlineStr">
        <is>
          <t>Observatorio de Igualdad de Género en el ámbito de la Cultura</t>
        </is>
      </c>
      <c r="C478" s="20" t="inlineStr">
        <is>
          <t>Tema funcional</t>
        </is>
      </c>
      <c r="D478" s="20" t="inlineStr">
        <is>
          <t>CE</t>
        </is>
      </c>
      <c r="E478" s="20" t="n"/>
      <c r="F478" s="20" t="inlineStr">
        <is>
          <t>Igualdad (sectorial)</t>
        </is>
      </c>
    </row>
    <row r="479">
      <c r="A479" s="20" t="n">
        <v>50</v>
      </c>
      <c r="B479" s="20" t="inlineStr">
        <is>
          <t>Observatorio de Igualdad de Género en el ámbito de la Cultura</t>
        </is>
      </c>
      <c r="C479" s="20" t="inlineStr">
        <is>
          <t>Coste de apoyo (sin presupuesto propio): unidad, vocales y dietas</t>
        </is>
      </c>
      <c r="D479" s="20" t="inlineStr">
        <is>
          <t>CG</t>
        </is>
      </c>
      <c r="E479" s="20" t="n"/>
      <c r="F479" s="20" t="inlineStr">
        <is>
          <t>Apoyo: DG de Derechos Culturales: secretaría a cargo de una persona funcionaria designada por su titular (apdo. Tercero.1.d); recursos humanos y medios del Ministerio de Cultura (apdo. Quinto). vocales: 9.</t>
        </is>
      </c>
    </row>
    <row r="480">
      <c r="A480" s="20" t="n">
        <v>51</v>
      </c>
      <c r="B480" s="20" t="inlineStr">
        <is>
          <t>Observatorio Global del Español</t>
        </is>
      </c>
      <c r="C480" s="20" t="inlineStr">
        <is>
          <t>Fuentes de la ficha</t>
        </is>
      </c>
      <c r="D480" s="20" t="inlineStr">
        <is>
          <t>Z</t>
        </is>
      </c>
      <c r="E480" s="20" t="inlineStr">
        <is>
          <t>https://www.boe.es/diario_boe/txt.php?id=BOE-A-2022-9382
https://observatoriodelespanol.cervantes.org/catalogo-publicaciones/
https://observatoriodelespanol.cervantes.org/noticia/clabe-inteligencia-idioma/</t>
        </is>
      </c>
      <c r="F480" s="20" t="inlineStr">
        <is>
          <t>https://www.boe.es/diario_boe/txt.php?id=BOE-A-2022-9382
https://observatoriodelespanol.cervantes.org/catalogo-publicaciones/
https://observatoriodelespanol.cervantes.org/noticia/clabe-inteligencia-idioma/
https://www.boe.es/eli/es/rd/2022/06/07/431/con</t>
        </is>
      </c>
    </row>
    <row r="481">
      <c r="A481" s="20" t="n">
        <v>51</v>
      </c>
      <c r="B481" s="20" t="inlineStr">
        <is>
          <t>Observatorio Global del Español</t>
        </is>
      </c>
      <c r="C481" s="20" t="inlineStr">
        <is>
          <t>Clasificación: útil / no útil</t>
        </is>
      </c>
      <c r="D481" s="20" t="inlineStr">
        <is>
          <t>BV</t>
        </is>
      </c>
      <c r="E481" s="20" t="n"/>
      <c r="F481" s="20" t="inlineStr">
        <is>
          <t>No útil</t>
        </is>
      </c>
    </row>
    <row r="482">
      <c r="A482" s="20" t="n">
        <v>51</v>
      </c>
      <c r="B482" s="20" t="inlineStr">
        <is>
          <t>Observatorio Global del Español</t>
        </is>
      </c>
      <c r="C482" s="20" t="inlineStr">
        <is>
          <t>Clasificación: veredicto</t>
        </is>
      </c>
      <c r="D482" s="20" t="inlineStr">
        <is>
          <t>BW</t>
        </is>
      </c>
      <c r="E482" s="20" t="n"/>
      <c r="F482" s="20" t="inlineStr">
        <is>
          <t>Suprimir</t>
        </is>
      </c>
    </row>
    <row r="483">
      <c r="A483" s="20" t="n">
        <v>51</v>
      </c>
      <c r="B483" s="20" t="inlineStr">
        <is>
          <t>Observatorio Global del Español</t>
        </is>
      </c>
      <c r="C483" s="20" t="inlineStr">
        <is>
          <t>Clasificación: función</t>
        </is>
      </c>
      <c r="D483" s="20" t="inlineStr">
        <is>
          <t>BX</t>
        </is>
      </c>
      <c r="E483" s="20" t="n"/>
      <c r="F483" s="20" t="inlineStr">
        <is>
          <t>Consultivo o participación</t>
        </is>
      </c>
    </row>
    <row r="484">
      <c r="A484" s="20" t="n">
        <v>51</v>
      </c>
      <c r="B484" s="20" t="inlineStr">
        <is>
          <t>Observatorio Global del Español</t>
        </is>
      </c>
      <c r="C484" s="20" t="inlineStr">
        <is>
          <t>Clasificación: exigida por la UE</t>
        </is>
      </c>
      <c r="D484" s="20" t="inlineStr">
        <is>
          <t>BZ</t>
        </is>
      </c>
      <c r="E484" s="20" t="n"/>
      <c r="F484" s="20" t="inlineStr">
        <is>
          <t>No</t>
        </is>
      </c>
    </row>
    <row r="485">
      <c r="A485" s="20" t="n">
        <v>51</v>
      </c>
      <c r="B485" s="20" t="inlineStr">
        <is>
          <t>Observatorio Global del Español</t>
        </is>
      </c>
      <c r="C485" s="20" t="inlineStr">
        <is>
          <t>Clasificación: actividad reciente</t>
        </is>
      </c>
      <c r="D485" s="20" t="inlineStr">
        <is>
          <t>CA</t>
        </is>
      </c>
      <c r="E485" s="20" t="n"/>
      <c r="F485" s="20" t="inlineStr">
        <is>
          <t>Acreditada</t>
        </is>
      </c>
    </row>
    <row r="486">
      <c r="A486" s="20" t="n">
        <v>51</v>
      </c>
      <c r="B486" s="20" t="inlineStr">
        <is>
          <t>Observatorio Global del Español</t>
        </is>
      </c>
      <c r="C486" s="20" t="inlineStr">
        <is>
          <t>Clasificación: motivo</t>
        </is>
      </c>
      <c r="D486" s="20" t="inlineStr">
        <is>
          <t>CB</t>
        </is>
      </c>
      <c r="E486" s="20" t="n"/>
      <c r="F486" s="20" t="inlineStr">
        <is>
          <t>Observatorio, consejo o comisión: el P100 los cierra salvo que su ministerio demuestre que su trabajo cambia decisiones o mejora un servicio; publicar informes no cuenta.</t>
        </is>
      </c>
    </row>
    <row r="487">
      <c r="A487" s="20" t="n">
        <v>51</v>
      </c>
      <c r="B487" s="20" t="inlineStr">
        <is>
          <t>Observatorio Global del Español</t>
        </is>
      </c>
      <c r="C487" s="20" t="inlineStr">
        <is>
          <t>Clasificación: base en el P100</t>
        </is>
      </c>
      <c r="D487" s="20" t="inlineStr">
        <is>
          <t>CC</t>
        </is>
      </c>
      <c r="E487" s="20" t="n"/>
      <c r="F487" s="20" t="inlineStr">
        <is>
          <t>Explícito en el P100: Costes del Estado 2</t>
        </is>
      </c>
    </row>
    <row r="488">
      <c r="A488" s="20" t="n">
        <v>51</v>
      </c>
      <c r="B488" s="20" t="inlineStr">
        <is>
          <t>Observatorio Global del Español</t>
        </is>
      </c>
      <c r="C488" s="20" t="inlineStr">
        <is>
          <t>Clasificación: destino de sus funciones</t>
        </is>
      </c>
      <c r="D488" s="20" t="inlineStr">
        <is>
          <t>CD</t>
        </is>
      </c>
      <c r="E488" s="20" t="n"/>
      <c r="F488" s="20" t="inlineStr">
        <is>
          <t>Estructura ordinaria del ministerio, si alguna función resultara imprescindible</t>
        </is>
      </c>
    </row>
    <row r="489">
      <c r="A489" s="20" t="n">
        <v>51</v>
      </c>
      <c r="B489" s="20" t="inlineStr">
        <is>
          <t>Observatorio Global del Español</t>
        </is>
      </c>
      <c r="C489" s="20" t="inlineStr">
        <is>
          <t>Tema funcional</t>
        </is>
      </c>
      <c r="D489" s="20" t="inlineStr">
        <is>
          <t>CE</t>
        </is>
      </c>
      <c r="E489" s="20" t="n"/>
      <c r="F489" s="20" t="inlineStr">
        <is>
          <t>Lengua española</t>
        </is>
      </c>
    </row>
    <row r="490">
      <c r="A490" s="20" t="n">
        <v>51</v>
      </c>
      <c r="B490" s="20" t="inlineStr">
        <is>
          <t>Observatorio Global del Español</t>
        </is>
      </c>
      <c r="C490" s="20" t="inlineStr">
        <is>
          <t>Coste de apoyo (sin presupuesto propio): unidad, vocales y dietas</t>
        </is>
      </c>
      <c r="D490" s="20" t="inlineStr">
        <is>
          <t>CG</t>
        </is>
      </c>
      <c r="E490" s="20" t="n"/>
      <c r="F490" s="20" t="inlineStr">
        <is>
          <t>Apoyo: Instituto Cervantes: la Secretaría General ejerce la secretaría del Pleno (art. 4.3); la Dirección del IC preside la Comisión ejecutiva (art. 5.2); pueden asignarse puestos de la plantilla del IC (art. 5.7 RD 431/2022). puestos asignados según fuente oficial: 1. vocales: 10. gasto con nombre propio: 73.693,05 EUR: retribución anual del puesto «Dirección del Observatorio Global del Español», sin antigüedad, en la tabla de directivos fuera de convenio a junio de 2025 (Memoria IC 2024-2025, Organización, https://cervantes.org/sites/public/produccion/files/2025-12/memoria-2024-2025-instituto-cervantes-11-organizacion.pdf).</t>
        </is>
      </c>
    </row>
    <row r="491">
      <c r="A491" s="20" t="n">
        <v>52</v>
      </c>
      <c r="B491" s="20" t="inlineStr">
        <is>
          <t>Observatorio de la Sostenibilidad del Regadío</t>
        </is>
      </c>
      <c r="C491" s="20" t="inlineStr">
        <is>
          <t>Fuentes de la ficha</t>
        </is>
      </c>
      <c r="D491" s="20" t="inlineStr">
        <is>
          <t>Z</t>
        </is>
      </c>
      <c r="E491" s="20" t="inlineStr">
        <is>
          <t>https://www.boe.es/buscar/doc.php?id=BOE-A-2022-16583</t>
        </is>
      </c>
      <c r="F491" s="20" t="inlineStr">
        <is>
          <t>https://www.boe.es/buscar/doc.php?id=BOE-A-2022-16583
https://www.boe.es/eli/es/rd/2022/10/11/854/con</t>
        </is>
      </c>
    </row>
    <row r="492">
      <c r="A492" s="20" t="n">
        <v>52</v>
      </c>
      <c r="B492" s="20" t="inlineStr">
        <is>
          <t>Observatorio de la Sostenibilidad del Regadío</t>
        </is>
      </c>
      <c r="C492" s="20" t="inlineStr">
        <is>
          <t>Clasificación: útil / no útil</t>
        </is>
      </c>
      <c r="D492" s="20" t="inlineStr">
        <is>
          <t>BV</t>
        </is>
      </c>
      <c r="E492" s="20" t="n"/>
      <c r="F492" s="20" t="inlineStr">
        <is>
          <t>No útil</t>
        </is>
      </c>
    </row>
    <row r="493">
      <c r="A493" s="20" t="n">
        <v>52</v>
      </c>
      <c r="B493" s="20" t="inlineStr">
        <is>
          <t>Observatorio de la Sostenibilidad del Regadío</t>
        </is>
      </c>
      <c r="C493" s="20" t="inlineStr">
        <is>
          <t>Clasificación: veredicto</t>
        </is>
      </c>
      <c r="D493" s="20" t="inlineStr">
        <is>
          <t>BW</t>
        </is>
      </c>
      <c r="E493" s="20" t="n"/>
      <c r="F493" s="20" t="inlineStr">
        <is>
          <t>Suprimir</t>
        </is>
      </c>
    </row>
    <row r="494">
      <c r="A494" s="20" t="n">
        <v>52</v>
      </c>
      <c r="B494" s="20" t="inlineStr">
        <is>
          <t>Observatorio de la Sostenibilidad del Regadío</t>
        </is>
      </c>
      <c r="C494" s="20" t="inlineStr">
        <is>
          <t>Clasificación: función</t>
        </is>
      </c>
      <c r="D494" s="20" t="inlineStr">
        <is>
          <t>BX</t>
        </is>
      </c>
      <c r="E494" s="20" t="n"/>
      <c r="F494" s="20" t="inlineStr">
        <is>
          <t>Consultivo o participación</t>
        </is>
      </c>
    </row>
    <row r="495">
      <c r="A495" s="20" t="n">
        <v>52</v>
      </c>
      <c r="B495" s="20" t="inlineStr">
        <is>
          <t>Observatorio de la Sostenibilidad del Regadío</t>
        </is>
      </c>
      <c r="C495" s="20" t="inlineStr">
        <is>
          <t>Clasificación: exigida por la UE</t>
        </is>
      </c>
      <c r="D495" s="20" t="inlineStr">
        <is>
          <t>BZ</t>
        </is>
      </c>
      <c r="E495" s="20" t="n"/>
      <c r="F495" s="20" t="inlineStr">
        <is>
          <t>No</t>
        </is>
      </c>
    </row>
    <row r="496">
      <c r="A496" s="20" t="n">
        <v>52</v>
      </c>
      <c r="B496" s="20" t="inlineStr">
        <is>
          <t>Observatorio de la Sostenibilidad del Regadío</t>
        </is>
      </c>
      <c r="C496" s="20" t="inlineStr">
        <is>
          <t>Clasificación: actividad reciente</t>
        </is>
      </c>
      <c r="D496" s="20" t="inlineStr">
        <is>
          <t>CA</t>
        </is>
      </c>
      <c r="E496" s="20" t="n"/>
      <c r="F496" s="20" t="inlineStr">
        <is>
          <t>No acreditada</t>
        </is>
      </c>
    </row>
    <row r="497">
      <c r="A497" s="20" t="n">
        <v>52</v>
      </c>
      <c r="B497" s="20" t="inlineStr">
        <is>
          <t>Observatorio de la Sostenibilidad del Regadío</t>
        </is>
      </c>
      <c r="C497" s="20" t="inlineStr">
        <is>
          <t>Clasificación: motivo</t>
        </is>
      </c>
      <c r="D497" s="20" t="inlineStr">
        <is>
          <t>CB</t>
        </is>
      </c>
      <c r="E497" s="20" t="n"/>
      <c r="F497" s="20" t="inlineStr">
        <is>
          <t>Observatorio, consejo o comisión: el P100 los cierra salvo que su ministerio demuestre que su trabajo cambia decisiones o mejora un servicio; publicar informes no cuenta.</t>
        </is>
      </c>
    </row>
    <row r="498">
      <c r="A498" s="20" t="n">
        <v>52</v>
      </c>
      <c r="B498" s="20" t="inlineStr">
        <is>
          <t>Observatorio de la Sostenibilidad del Regadío</t>
        </is>
      </c>
      <c r="C498" s="20" t="inlineStr">
        <is>
          <t>Clasificación: base en el P100</t>
        </is>
      </c>
      <c r="D498" s="20" t="inlineStr">
        <is>
          <t>CC</t>
        </is>
      </c>
      <c r="E498" s="20" t="n"/>
      <c r="F498" s="20" t="inlineStr">
        <is>
          <t>Explícito en el P100: Costes del Estado 2</t>
        </is>
      </c>
    </row>
    <row r="499">
      <c r="A499" s="20" t="n">
        <v>52</v>
      </c>
      <c r="B499" s="20" t="inlineStr">
        <is>
          <t>Observatorio de la Sostenibilidad del Regadío</t>
        </is>
      </c>
      <c r="C499" s="20" t="inlineStr">
        <is>
          <t>Clasificación: destino de sus funciones</t>
        </is>
      </c>
      <c r="D499" s="20" t="inlineStr">
        <is>
          <t>CD</t>
        </is>
      </c>
      <c r="E499" s="20" t="n"/>
      <c r="F499" s="20" t="inlineStr">
        <is>
          <t>Estructura ordinaria del ministerio, si alguna función resultara imprescindible</t>
        </is>
      </c>
    </row>
    <row r="500">
      <c r="A500" s="20" t="n">
        <v>52</v>
      </c>
      <c r="B500" s="20" t="inlineStr">
        <is>
          <t>Observatorio de la Sostenibilidad del Regadío</t>
        </is>
      </c>
      <c r="C500" s="20" t="inlineStr">
        <is>
          <t>Tema funcional</t>
        </is>
      </c>
      <c r="D500" s="20" t="inlineStr">
        <is>
          <t>CE</t>
        </is>
      </c>
      <c r="E500" s="20" t="n"/>
      <c r="F500" s="20" t="inlineStr">
        <is>
          <t>Regadío</t>
        </is>
      </c>
    </row>
    <row r="501">
      <c r="A501" s="20" t="n">
        <v>52</v>
      </c>
      <c r="B501" s="20" t="inlineStr">
        <is>
          <t>Observatorio de la Sostenibilidad del Regadío</t>
        </is>
      </c>
      <c r="C501" s="20" t="inlineStr">
        <is>
          <t>Coste de apoyo (sin presupuesto propio): unidad, vocales y dietas</t>
        </is>
      </c>
      <c r="D501" s="20" t="inlineStr">
        <is>
          <t>CG</t>
        </is>
      </c>
      <c r="E501" s="20" t="n"/>
      <c r="F501" s="20" t="inlineStr">
        <is>
          <t>Apoyo: Unidad competente en regadíos del MAPA, la SG de Regadíos, Caminos Naturales e Infraestructuras Rurales (DGDRIFA), que gestiona la plataforma (art. 6.3 RD 854/2022).</t>
        </is>
      </c>
    </row>
    <row r="502">
      <c r="A502" s="20" t="n">
        <v>53</v>
      </c>
      <c r="B502" s="20" t="inlineStr">
        <is>
          <t>Mesa Nacional del Regadío</t>
        </is>
      </c>
      <c r="C502" s="20" t="inlineStr">
        <is>
          <t>Fuentes de la ficha</t>
        </is>
      </c>
      <c r="D502" s="20" t="inlineStr">
        <is>
          <t>Z</t>
        </is>
      </c>
      <c r="E502" s="20" t="inlineStr">
        <is>
          <t>https://www.boe.es/buscar/doc.php?id=BOE-A-2022-16583</t>
        </is>
      </c>
      <c r="F502" s="20" t="inlineStr">
        <is>
          <t>https://www.boe.es/buscar/doc.php?id=BOE-A-2022-16583
https://www.boe.es/eli/es/rd/2022/10/11/854/con</t>
        </is>
      </c>
    </row>
    <row r="503">
      <c r="A503" s="20" t="n">
        <v>53</v>
      </c>
      <c r="B503" s="20" t="inlineStr">
        <is>
          <t>Mesa Nacional del Regadío</t>
        </is>
      </c>
      <c r="C503" s="20" t="inlineStr">
        <is>
          <t>Clasificación: útil / no útil</t>
        </is>
      </c>
      <c r="D503" s="20" t="inlineStr">
        <is>
          <t>BV</t>
        </is>
      </c>
      <c r="E503" s="20" t="n"/>
      <c r="F503" s="20" t="inlineStr">
        <is>
          <t>No útil</t>
        </is>
      </c>
    </row>
    <row r="504">
      <c r="A504" s="20" t="n">
        <v>53</v>
      </c>
      <c r="B504" s="20" t="inlineStr">
        <is>
          <t>Mesa Nacional del Regadío</t>
        </is>
      </c>
      <c r="C504" s="20" t="inlineStr">
        <is>
          <t>Clasificación: veredicto</t>
        </is>
      </c>
      <c r="D504" s="20" t="inlineStr">
        <is>
          <t>BW</t>
        </is>
      </c>
      <c r="E504" s="20" t="n"/>
      <c r="F504" s="20" t="inlineStr">
        <is>
          <t>Suprimir</t>
        </is>
      </c>
    </row>
    <row r="505">
      <c r="A505" s="20" t="n">
        <v>53</v>
      </c>
      <c r="B505" s="20" t="inlineStr">
        <is>
          <t>Mesa Nacional del Regadío</t>
        </is>
      </c>
      <c r="C505" s="20" t="inlineStr">
        <is>
          <t>Clasificación: función</t>
        </is>
      </c>
      <c r="D505" s="20" t="inlineStr">
        <is>
          <t>BX</t>
        </is>
      </c>
      <c r="E505" s="20" t="n"/>
      <c r="F505" s="20" t="inlineStr">
        <is>
          <t>Consultivo o participación</t>
        </is>
      </c>
    </row>
    <row r="506">
      <c r="A506" s="20" t="n">
        <v>53</v>
      </c>
      <c r="B506" s="20" t="inlineStr">
        <is>
          <t>Mesa Nacional del Regadío</t>
        </is>
      </c>
      <c r="C506" s="20" t="inlineStr">
        <is>
          <t>Clasificación: exigida por la UE</t>
        </is>
      </c>
      <c r="D506" s="20" t="inlineStr">
        <is>
          <t>BZ</t>
        </is>
      </c>
      <c r="E506" s="20" t="n"/>
      <c r="F506" s="20" t="inlineStr">
        <is>
          <t>No</t>
        </is>
      </c>
    </row>
    <row r="507">
      <c r="A507" s="20" t="n">
        <v>53</v>
      </c>
      <c r="B507" s="20" t="inlineStr">
        <is>
          <t>Mesa Nacional del Regadío</t>
        </is>
      </c>
      <c r="C507" s="20" t="inlineStr">
        <is>
          <t>Clasificación: actividad reciente</t>
        </is>
      </c>
      <c r="D507" s="20" t="inlineStr">
        <is>
          <t>CA</t>
        </is>
      </c>
      <c r="E507" s="20" t="n"/>
      <c r="F507" s="20" t="inlineStr">
        <is>
          <t>No acreditada</t>
        </is>
      </c>
    </row>
    <row r="508">
      <c r="A508" s="20" t="n">
        <v>53</v>
      </c>
      <c r="B508" s="20" t="inlineStr">
        <is>
          <t>Mesa Nacional del Regadío</t>
        </is>
      </c>
      <c r="C508" s="20" t="inlineStr">
        <is>
          <t>Clasificación: motivo</t>
        </is>
      </c>
      <c r="D508" s="20" t="inlineStr">
        <is>
          <t>CB</t>
        </is>
      </c>
      <c r="E508" s="20" t="n"/>
      <c r="F508" s="20" t="inlineStr">
        <is>
          <t>Observatorio, consejo o comisión: el P100 los cierra salvo que su ministerio demuestre que su trabajo cambia decisiones o mejora un servicio; publicar informes no cuenta.</t>
        </is>
      </c>
    </row>
    <row r="509">
      <c r="A509" s="20" t="n">
        <v>53</v>
      </c>
      <c r="B509" s="20" t="inlineStr">
        <is>
          <t>Mesa Nacional del Regadío</t>
        </is>
      </c>
      <c r="C509" s="20" t="inlineStr">
        <is>
          <t>Clasificación: base en el P100</t>
        </is>
      </c>
      <c r="D509" s="20" t="inlineStr">
        <is>
          <t>CC</t>
        </is>
      </c>
      <c r="E509" s="20" t="n"/>
      <c r="F509" s="20" t="inlineStr">
        <is>
          <t>Explícito en el P100: Costes del Estado 2</t>
        </is>
      </c>
    </row>
    <row r="510">
      <c r="A510" s="20" t="n">
        <v>53</v>
      </c>
      <c r="B510" s="20" t="inlineStr">
        <is>
          <t>Mesa Nacional del Regadío</t>
        </is>
      </c>
      <c r="C510" s="20" t="inlineStr">
        <is>
          <t>Clasificación: destino de sus funciones</t>
        </is>
      </c>
      <c r="D510" s="20" t="inlineStr">
        <is>
          <t>CD</t>
        </is>
      </c>
      <c r="E510" s="20" t="n"/>
      <c r="F510" s="20" t="inlineStr">
        <is>
          <t>Estructura ordinaria del ministerio, si alguna función resultara imprescindible</t>
        </is>
      </c>
    </row>
    <row r="511">
      <c r="A511" s="20" t="n">
        <v>53</v>
      </c>
      <c r="B511" s="20" t="inlineStr">
        <is>
          <t>Mesa Nacional del Regadío</t>
        </is>
      </c>
      <c r="C511" s="20" t="inlineStr">
        <is>
          <t>Tema funcional</t>
        </is>
      </c>
      <c r="D511" s="20" t="inlineStr">
        <is>
          <t>CE</t>
        </is>
      </c>
      <c r="E511" s="20" t="n"/>
      <c r="F511" s="20" t="inlineStr">
        <is>
          <t>Regadío</t>
        </is>
      </c>
    </row>
    <row r="512">
      <c r="A512" s="20" t="n">
        <v>53</v>
      </c>
      <c r="B512" s="20" t="inlineStr">
        <is>
          <t>Mesa Nacional del Regadío</t>
        </is>
      </c>
      <c r="C512" s="20" t="inlineStr">
        <is>
          <t>Coste de apoyo (sin presupuesto propio): unidad, vocales y dietas</t>
        </is>
      </c>
      <c r="D512" s="20" t="inlineStr">
        <is>
          <t>CG</t>
        </is>
      </c>
      <c r="E512" s="20" t="n"/>
      <c r="F512" s="20" t="inlineStr">
        <is>
          <t>Apoyo: Secretaría: una persona funcionaria A1 de la SG de Regadíos, Caminos Naturales e Infraestructuras Rurales del MAPA, que puede asistir con funcionarios de su Subdirección (art. 4.2.19.º y art. 5.3-5.4 RD 854/2022).</t>
        </is>
      </c>
    </row>
    <row r="513">
      <c r="A513" s="20" t="n">
        <v>54</v>
      </c>
      <c r="B513" s="20" t="inlineStr">
        <is>
          <t>Observatorio Estatal de la Morosidad Privada</t>
        </is>
      </c>
      <c r="C513" s="20" t="inlineStr">
        <is>
          <t>Clasificación: útil / no útil</t>
        </is>
      </c>
      <c r="D513" s="20" t="inlineStr">
        <is>
          <t>BV</t>
        </is>
      </c>
      <c r="E513" s="20" t="n"/>
      <c r="F513" s="20" t="inlineStr">
        <is>
          <t>No útil</t>
        </is>
      </c>
    </row>
    <row r="514">
      <c r="A514" s="20" t="n">
        <v>54</v>
      </c>
      <c r="B514" s="20" t="inlineStr">
        <is>
          <t>Observatorio Estatal de la Morosidad Privada</t>
        </is>
      </c>
      <c r="C514" s="20" t="inlineStr">
        <is>
          <t>Clasificación: veredicto</t>
        </is>
      </c>
      <c r="D514" s="20" t="inlineStr">
        <is>
          <t>BW</t>
        </is>
      </c>
      <c r="E514" s="20" t="n"/>
      <c r="F514" s="20" t="inlineStr">
        <is>
          <t>Suprimir</t>
        </is>
      </c>
    </row>
    <row r="515">
      <c r="A515" s="20" t="n">
        <v>54</v>
      </c>
      <c r="B515" s="20" t="inlineStr">
        <is>
          <t>Observatorio Estatal de la Morosidad Privada</t>
        </is>
      </c>
      <c r="C515" s="20" t="inlineStr">
        <is>
          <t>Clasificación: función</t>
        </is>
      </c>
      <c r="D515" s="20" t="inlineStr">
        <is>
          <t>BX</t>
        </is>
      </c>
      <c r="E515" s="20" t="n"/>
      <c r="F515" s="20" t="inlineStr">
        <is>
          <t>Consultivo o participación</t>
        </is>
      </c>
    </row>
    <row r="516">
      <c r="A516" s="20" t="n">
        <v>54</v>
      </c>
      <c r="B516" s="20" t="inlineStr">
        <is>
          <t>Observatorio Estatal de la Morosidad Privada</t>
        </is>
      </c>
      <c r="C516" s="20" t="inlineStr">
        <is>
          <t>Clasificación: exigida por la UE</t>
        </is>
      </c>
      <c r="D516" s="20" t="inlineStr">
        <is>
          <t>BZ</t>
        </is>
      </c>
      <c r="E516" s="20" t="n"/>
      <c r="F516" s="20" t="inlineStr">
        <is>
          <t>No</t>
        </is>
      </c>
    </row>
    <row r="517">
      <c r="A517" s="20" t="n">
        <v>54</v>
      </c>
      <c r="B517" s="20" t="inlineStr">
        <is>
          <t>Observatorio Estatal de la Morosidad Privada</t>
        </is>
      </c>
      <c r="C517" s="20" t="inlineStr">
        <is>
          <t>Clasificación: actividad reciente</t>
        </is>
      </c>
      <c r="D517" s="20" t="inlineStr">
        <is>
          <t>CA</t>
        </is>
      </c>
      <c r="E517" s="20" t="n"/>
      <c r="F517" s="20" t="inlineStr">
        <is>
          <t>Parcial</t>
        </is>
      </c>
    </row>
    <row r="518">
      <c r="A518" s="20" t="n">
        <v>54</v>
      </c>
      <c r="B518" s="20" t="inlineStr">
        <is>
          <t>Observatorio Estatal de la Morosidad Privada</t>
        </is>
      </c>
      <c r="C518" s="20" t="inlineStr">
        <is>
          <t>Clasificación: motivo</t>
        </is>
      </c>
      <c r="D518" s="20" t="inlineStr">
        <is>
          <t>CB</t>
        </is>
      </c>
      <c r="E518" s="20" t="n"/>
      <c r="F518" s="20" t="inlineStr">
        <is>
          <t>Observatorio, consejo o comisión: el P100 los cierra salvo que su ministerio demuestre que su trabajo cambia decisiones o mejora un servicio; publicar informes no cuenta.</t>
        </is>
      </c>
    </row>
    <row r="519">
      <c r="A519" s="20" t="n">
        <v>54</v>
      </c>
      <c r="B519" s="20" t="inlineStr">
        <is>
          <t>Observatorio Estatal de la Morosidad Privada</t>
        </is>
      </c>
      <c r="C519" s="20" t="inlineStr">
        <is>
          <t>Clasificación: base en el P100</t>
        </is>
      </c>
      <c r="D519" s="20" t="inlineStr">
        <is>
          <t>CC</t>
        </is>
      </c>
      <c r="E519" s="20" t="n"/>
      <c r="F519" s="20" t="inlineStr">
        <is>
          <t>Explícito en el P100: Costes del Estado 2</t>
        </is>
      </c>
    </row>
    <row r="520">
      <c r="A520" s="20" t="n">
        <v>54</v>
      </c>
      <c r="B520" s="20" t="inlineStr">
        <is>
          <t>Observatorio Estatal de la Morosidad Privada</t>
        </is>
      </c>
      <c r="C520" s="20" t="inlineStr">
        <is>
          <t>Clasificación: destino de sus funciones</t>
        </is>
      </c>
      <c r="D520" s="20" t="inlineStr">
        <is>
          <t>CD</t>
        </is>
      </c>
      <c r="E520" s="20" t="n"/>
      <c r="F520" s="20" t="inlineStr">
        <is>
          <t>Estructura ordinaria del ministerio, si alguna función resultara imprescindible</t>
        </is>
      </c>
    </row>
    <row r="521">
      <c r="A521" s="20" t="n">
        <v>54</v>
      </c>
      <c r="B521" s="20" t="inlineStr">
        <is>
          <t>Observatorio Estatal de la Morosidad Privada</t>
        </is>
      </c>
      <c r="C521" s="20" t="inlineStr">
        <is>
          <t>Tema funcional</t>
        </is>
      </c>
      <c r="D521" s="20" t="inlineStr">
        <is>
          <t>CE</t>
        </is>
      </c>
      <c r="E521" s="20" t="n"/>
      <c r="F521" s="20" t="inlineStr">
        <is>
          <t>Morosidad</t>
        </is>
      </c>
    </row>
    <row r="522">
      <c r="A522" s="20" t="n">
        <v>54</v>
      </c>
      <c r="B522" s="20" t="inlineStr">
        <is>
          <t>Observatorio Estatal de la Morosidad Privada</t>
        </is>
      </c>
      <c r="C522" s="20" t="inlineStr">
        <is>
          <t>Coste de apoyo (sin presupuesto propio): unidad, vocales y dietas</t>
        </is>
      </c>
      <c r="D522" s="20" t="inlineStr">
        <is>
          <t>CG</t>
        </is>
      </c>
      <c r="E522" s="20" t="n"/>
      <c r="F522" s="20" t="inlineStr">
        <is>
          <t>Apoyo: Secretaría: titular de la SG de Emprendimiento y PYME (art. 14.5 RD 439/2024); medios personales, técnicos y presupuestarios del Ministerio de Industria y Turismo (DA única). vocales: 20. miembros: no retribuidos (art. 14.8 RD 439/2024: «no percibirán ninguna retribución o compensación económica»).</t>
        </is>
      </c>
    </row>
    <row r="523">
      <c r="A523" s="20" t="n">
        <v>55</v>
      </c>
      <c r="B523" s="20" t="inlineStr">
        <is>
          <t>Observatorio de Márgenes Empresariales</t>
        </is>
      </c>
      <c r="C523" s="20" t="inlineStr">
        <is>
          <t>Clasificación: útil / no útil</t>
        </is>
      </c>
      <c r="D523" s="20" t="inlineStr">
        <is>
          <t>BV</t>
        </is>
      </c>
      <c r="E523" s="20" t="n"/>
      <c r="F523" s="20" t="inlineStr">
        <is>
          <t>No útil</t>
        </is>
      </c>
    </row>
    <row r="524">
      <c r="A524" s="20" t="n">
        <v>55</v>
      </c>
      <c r="B524" s="20" t="inlineStr">
        <is>
          <t>Observatorio de Márgenes Empresariales</t>
        </is>
      </c>
      <c r="C524" s="20" t="inlineStr">
        <is>
          <t>Clasificación: veredicto</t>
        </is>
      </c>
      <c r="D524" s="20" t="inlineStr">
        <is>
          <t>BW</t>
        </is>
      </c>
      <c r="E524" s="20" t="n"/>
      <c r="F524" s="20" t="inlineStr">
        <is>
          <t>Suprimir</t>
        </is>
      </c>
    </row>
    <row r="525">
      <c r="A525" s="20" t="n">
        <v>55</v>
      </c>
      <c r="B525" s="20" t="inlineStr">
        <is>
          <t>Observatorio de Márgenes Empresariales</t>
        </is>
      </c>
      <c r="C525" s="20" t="inlineStr">
        <is>
          <t>Clasificación: función</t>
        </is>
      </c>
      <c r="D525" s="20" t="inlineStr">
        <is>
          <t>BX</t>
        </is>
      </c>
      <c r="E525" s="20" t="n"/>
      <c r="F525" s="20" t="inlineStr">
        <is>
          <t>Consultivo o participación</t>
        </is>
      </c>
    </row>
    <row r="526">
      <c r="A526" s="20" t="n">
        <v>55</v>
      </c>
      <c r="B526" s="20" t="inlineStr">
        <is>
          <t>Observatorio de Márgenes Empresariales</t>
        </is>
      </c>
      <c r="C526" s="20" t="inlineStr">
        <is>
          <t>Clasificación: exigida por la UE</t>
        </is>
      </c>
      <c r="D526" s="20" t="inlineStr">
        <is>
          <t>BZ</t>
        </is>
      </c>
      <c r="E526" s="20" t="n"/>
      <c r="F526" s="20" t="inlineStr">
        <is>
          <t>No</t>
        </is>
      </c>
    </row>
    <row r="527">
      <c r="A527" s="20" t="n">
        <v>55</v>
      </c>
      <c r="B527" s="20" t="inlineStr">
        <is>
          <t>Observatorio de Márgenes Empresariales</t>
        </is>
      </c>
      <c r="C527" s="20" t="inlineStr">
        <is>
          <t>Clasificación: actividad reciente</t>
        </is>
      </c>
      <c r="D527" s="20" t="inlineStr">
        <is>
          <t>CA</t>
        </is>
      </c>
      <c r="E527" s="20" t="n"/>
      <c r="F527" s="20" t="inlineStr">
        <is>
          <t>Acreditada</t>
        </is>
      </c>
    </row>
    <row r="528">
      <c r="A528" s="20" t="n">
        <v>55</v>
      </c>
      <c r="B528" s="20" t="inlineStr">
        <is>
          <t>Observatorio de Márgenes Empresariales</t>
        </is>
      </c>
      <c r="C528" s="20" t="inlineStr">
        <is>
          <t>Clasificación: motivo</t>
        </is>
      </c>
      <c r="D528" s="20" t="inlineStr">
        <is>
          <t>CB</t>
        </is>
      </c>
      <c r="E528" s="20" t="n"/>
      <c r="F528" s="20" t="inlineStr">
        <is>
          <t>Observatorio, consejo o comisión: el P100 los cierra salvo que su ministerio demuestre que su trabajo cambia decisiones o mejora un servicio; publicar informes no cuenta.</t>
        </is>
      </c>
    </row>
    <row r="529">
      <c r="A529" s="20" t="n">
        <v>55</v>
      </c>
      <c r="B529" s="20" t="inlineStr">
        <is>
          <t>Observatorio de Márgenes Empresariales</t>
        </is>
      </c>
      <c r="C529" s="20" t="inlineStr">
        <is>
          <t>Clasificación: base en el P100</t>
        </is>
      </c>
      <c r="D529" s="20" t="inlineStr">
        <is>
          <t>CC</t>
        </is>
      </c>
      <c r="E529" s="20" t="n"/>
      <c r="F529" s="20" t="inlineStr">
        <is>
          <t>Explícito en el P100: Costes del Estado 2</t>
        </is>
      </c>
    </row>
    <row r="530">
      <c r="A530" s="20" t="n">
        <v>55</v>
      </c>
      <c r="B530" s="20" t="inlineStr">
        <is>
          <t>Observatorio de Márgenes Empresariales</t>
        </is>
      </c>
      <c r="C530" s="20" t="inlineStr">
        <is>
          <t>Clasificación: destino de sus funciones</t>
        </is>
      </c>
      <c r="D530" s="20" t="inlineStr">
        <is>
          <t>CD</t>
        </is>
      </c>
      <c r="E530" s="20" t="n"/>
      <c r="F530" s="20" t="inlineStr">
        <is>
          <t>Estructura ordinaria del ministerio, si alguna función resultara imprescindible</t>
        </is>
      </c>
    </row>
    <row r="531">
      <c r="A531" s="20" t="n">
        <v>55</v>
      </c>
      <c r="B531" s="20" t="inlineStr">
        <is>
          <t>Observatorio de Márgenes Empresariales</t>
        </is>
      </c>
      <c r="C531" s="20" t="inlineStr">
        <is>
          <t>Tema funcional</t>
        </is>
      </c>
      <c r="D531" s="20" t="inlineStr">
        <is>
          <t>CE</t>
        </is>
      </c>
      <c r="E531" s="20" t="n"/>
      <c r="F531" s="20" t="inlineStr">
        <is>
          <t>Márgenes empresariales</t>
        </is>
      </c>
    </row>
    <row r="532">
      <c r="A532" s="20" t="n">
        <v>55</v>
      </c>
      <c r="B532" s="20" t="inlineStr">
        <is>
          <t>Observatorio de Márgenes Empresariales</t>
        </is>
      </c>
      <c r="C532" s="20" t="inlineStr">
        <is>
          <t>Coste de apoyo (sin presupuesto propio): unidad, vocales y dietas</t>
        </is>
      </c>
      <c r="D532" s="20" t="inlineStr">
        <is>
          <t>CG</t>
        </is>
      </c>
      <c r="E532" s="20" t="n"/>
      <c r="F532" s="20" t="inlineStr">
        <is>
          <t>Apoyo: Proyecto conjunto del Ministerio de Economía, Comercio y Empresa, el Banco de España y la AEAT; la AEAT elabora los datos cada trimestre (página OME de Hacienda; análisis AEAT).</t>
        </is>
      </c>
    </row>
    <row r="533">
      <c r="A533" s="20" t="n">
        <v>56</v>
      </c>
      <c r="B533" s="20" t="inlineStr">
        <is>
          <t>Observatorio contra el Fraude y la Corrupción Sanitaria</t>
        </is>
      </c>
      <c r="C533" s="20" t="inlineStr">
        <is>
          <t>Clasificación: útil / no útil</t>
        </is>
      </c>
      <c r="D533" s="20" t="inlineStr">
        <is>
          <t>BV</t>
        </is>
      </c>
      <c r="E533" s="20" t="n"/>
      <c r="F533" s="20" t="inlineStr">
        <is>
          <t>No útil</t>
        </is>
      </c>
    </row>
    <row r="534">
      <c r="A534" s="20" t="n">
        <v>56</v>
      </c>
      <c r="B534" s="20" t="inlineStr">
        <is>
          <t>Observatorio contra el Fraude y la Corrupción Sanitaria</t>
        </is>
      </c>
      <c r="C534" s="20" t="inlineStr">
        <is>
          <t>Clasificación: veredicto</t>
        </is>
      </c>
      <c r="D534" s="20" t="inlineStr">
        <is>
          <t>BW</t>
        </is>
      </c>
      <c r="E534" s="20" t="n"/>
      <c r="F534" s="20" t="inlineStr">
        <is>
          <t>Suprimir</t>
        </is>
      </c>
    </row>
    <row r="535">
      <c r="A535" s="20" t="n">
        <v>56</v>
      </c>
      <c r="B535" s="20" t="inlineStr">
        <is>
          <t>Observatorio contra el Fraude y la Corrupción Sanitaria</t>
        </is>
      </c>
      <c r="C535" s="20" t="inlineStr">
        <is>
          <t>Clasificación: función</t>
        </is>
      </c>
      <c r="D535" s="20" t="inlineStr">
        <is>
          <t>BX</t>
        </is>
      </c>
      <c r="E535" s="20" t="n"/>
      <c r="F535" s="20" t="inlineStr">
        <is>
          <t>Consultivo o participación</t>
        </is>
      </c>
    </row>
    <row r="536">
      <c r="A536" s="20" t="n">
        <v>56</v>
      </c>
      <c r="B536" s="20" t="inlineStr">
        <is>
          <t>Observatorio contra el Fraude y la Corrupción Sanitaria</t>
        </is>
      </c>
      <c r="C536" s="20" t="inlineStr">
        <is>
          <t>Clasificación: exigida por la UE</t>
        </is>
      </c>
      <c r="D536" s="20" t="inlineStr">
        <is>
          <t>BZ</t>
        </is>
      </c>
      <c r="E536" s="20" t="n"/>
      <c r="F536" s="20" t="inlineStr">
        <is>
          <t>No</t>
        </is>
      </c>
    </row>
    <row r="537">
      <c r="A537" s="20" t="n">
        <v>56</v>
      </c>
      <c r="B537" s="20" t="inlineStr">
        <is>
          <t>Observatorio contra el Fraude y la Corrupción Sanitaria</t>
        </is>
      </c>
      <c r="C537" s="20" t="inlineStr">
        <is>
          <t>Clasificación: actividad reciente</t>
        </is>
      </c>
      <c r="D537" s="20" t="inlineStr">
        <is>
          <t>CA</t>
        </is>
      </c>
      <c r="E537" s="20" t="n"/>
      <c r="F537" s="20" t="inlineStr">
        <is>
          <t>Acreditada</t>
        </is>
      </c>
    </row>
    <row r="538">
      <c r="A538" s="20" t="n">
        <v>56</v>
      </c>
      <c r="B538" s="20" t="inlineStr">
        <is>
          <t>Observatorio contra el Fraude y la Corrupción Sanitaria</t>
        </is>
      </c>
      <c r="C538" s="20" t="inlineStr">
        <is>
          <t>Clasificación: motivo</t>
        </is>
      </c>
      <c r="D538" s="20" t="inlineStr">
        <is>
          <t>CB</t>
        </is>
      </c>
      <c r="E538" s="20" t="n"/>
      <c r="F538" s="20" t="inlineStr">
        <is>
          <t>Observatorio, consejo o comisión: el P100 los cierra salvo que su ministerio demuestre que su trabajo cambia decisiones o mejora un servicio; publicar informes no cuenta.</t>
        </is>
      </c>
    </row>
    <row r="539">
      <c r="A539" s="20" t="n">
        <v>56</v>
      </c>
      <c r="B539" s="20" t="inlineStr">
        <is>
          <t>Observatorio contra el Fraude y la Corrupción Sanitaria</t>
        </is>
      </c>
      <c r="C539" s="20" t="inlineStr">
        <is>
          <t>Clasificación: base en el P100</t>
        </is>
      </c>
      <c r="D539" s="20" t="inlineStr">
        <is>
          <t>CC</t>
        </is>
      </c>
      <c r="E539" s="20" t="n"/>
      <c r="F539" s="20" t="inlineStr">
        <is>
          <t>Explícito en el P100: Costes del Estado 2</t>
        </is>
      </c>
    </row>
    <row r="540">
      <c r="A540" s="20" t="n">
        <v>56</v>
      </c>
      <c r="B540" s="20" t="inlineStr">
        <is>
          <t>Observatorio contra el Fraude y la Corrupción Sanitaria</t>
        </is>
      </c>
      <c r="C540" s="20" t="inlineStr">
        <is>
          <t>Clasificación: destino de sus funciones</t>
        </is>
      </c>
      <c r="D540" s="20" t="inlineStr">
        <is>
          <t>CD</t>
        </is>
      </c>
      <c r="E540" s="20" t="n"/>
      <c r="F540" s="20" t="inlineStr">
        <is>
          <t>Estructura ordinaria del ministerio, si alguna función resultara imprescindible</t>
        </is>
      </c>
    </row>
    <row r="541">
      <c r="A541" s="20" t="n">
        <v>56</v>
      </c>
      <c r="B541" s="20" t="inlineStr">
        <is>
          <t>Observatorio contra el Fraude y la Corrupción Sanitaria</t>
        </is>
      </c>
      <c r="C541" s="20" t="inlineStr">
        <is>
          <t>Tema funcional</t>
        </is>
      </c>
      <c r="D541" s="20" t="inlineStr">
        <is>
          <t>CE</t>
        </is>
      </c>
      <c r="E541" s="20" t="n"/>
      <c r="F541" s="20" t="inlineStr">
        <is>
          <t>Fraude sanitario</t>
        </is>
      </c>
    </row>
    <row r="542">
      <c r="A542" s="20" t="n">
        <v>56</v>
      </c>
      <c r="B542" s="20" t="inlineStr">
        <is>
          <t>Observatorio contra el Fraude y la Corrupción Sanitaria</t>
        </is>
      </c>
      <c r="C542" s="20" t="inlineStr">
        <is>
          <t>Coste de apoyo (sin presupuesto propio): unidad, vocales y dietas</t>
        </is>
      </c>
      <c r="D542" s="20" t="inlineStr">
        <is>
          <t>CG</t>
        </is>
      </c>
      <c r="E542" s="20" t="n"/>
      <c r="F542" s="20" t="inlineStr">
        <is>
          <t>Apoyo: Secretaría General Técnica del Ministerio de Sanidad: secretaría (apdo. Tercero.1.c) y coordinación de la Comisión Permanente (apdo. Noveno); medios materiales y personales del Departamento (apdo. Décimo). vocales: 6.</t>
        </is>
      </c>
    </row>
    <row r="543">
      <c r="A543" s="20" t="n">
        <v>57</v>
      </c>
      <c r="B543" s="20" t="inlineStr">
        <is>
          <t>Observatorio de Conducta Ética de la Guardia Civil</t>
        </is>
      </c>
      <c r="C543" s="20" t="inlineStr">
        <is>
          <t>Fuentes de la ficha</t>
        </is>
      </c>
      <c r="D543" s="20" t="inlineStr">
        <is>
          <t>Z</t>
        </is>
      </c>
      <c r="E543" s="20" t="inlineStr">
        <is>
          <t>https://www.boe.es/diario_boe/txt.php?id=BOE-A-2024-16600</t>
        </is>
      </c>
      <c r="F543" s="20" t="inlineStr">
        <is>
          <t>https://www.boe.es/diario_boe/txt.php?id=BOE-A-2024-16600
https://www.boe.es/boe/dias/2024/08/10/pdfs/BOE-A-2024-16600.pdf</t>
        </is>
      </c>
    </row>
    <row r="544">
      <c r="A544" s="20" t="n">
        <v>57</v>
      </c>
      <c r="B544" s="20" t="inlineStr">
        <is>
          <t>Observatorio de Conducta Ética de la Guardia Civil</t>
        </is>
      </c>
      <c r="C544" s="20" t="inlineStr">
        <is>
          <t>Clasificación: útil / no útil</t>
        </is>
      </c>
      <c r="D544" s="20" t="inlineStr">
        <is>
          <t>BV</t>
        </is>
      </c>
      <c r="E544" s="20" t="n"/>
      <c r="F544" s="20" t="inlineStr">
        <is>
          <t>No útil</t>
        </is>
      </c>
    </row>
    <row r="545">
      <c r="A545" s="20" t="n">
        <v>57</v>
      </c>
      <c r="B545" s="20" t="inlineStr">
        <is>
          <t>Observatorio de Conducta Ética de la Guardia Civil</t>
        </is>
      </c>
      <c r="C545" s="20" t="inlineStr">
        <is>
          <t>Clasificación: veredicto</t>
        </is>
      </c>
      <c r="D545" s="20" t="inlineStr">
        <is>
          <t>BW</t>
        </is>
      </c>
      <c r="E545" s="20" t="n"/>
      <c r="F545" s="20" t="inlineStr">
        <is>
          <t>Suprimir</t>
        </is>
      </c>
    </row>
    <row r="546">
      <c r="A546" s="20" t="n">
        <v>57</v>
      </c>
      <c r="B546" s="20" t="inlineStr">
        <is>
          <t>Observatorio de Conducta Ética de la Guardia Civil</t>
        </is>
      </c>
      <c r="C546" s="20" t="inlineStr">
        <is>
          <t>Clasificación: función</t>
        </is>
      </c>
      <c r="D546" s="20" t="inlineStr">
        <is>
          <t>BX</t>
        </is>
      </c>
      <c r="E546" s="20" t="n"/>
      <c r="F546" s="20" t="inlineStr">
        <is>
          <t>Consultivo o participación</t>
        </is>
      </c>
    </row>
    <row r="547">
      <c r="A547" s="20" t="n">
        <v>57</v>
      </c>
      <c r="B547" s="20" t="inlineStr">
        <is>
          <t>Observatorio de Conducta Ética de la Guardia Civil</t>
        </is>
      </c>
      <c r="C547" s="20" t="inlineStr">
        <is>
          <t>Clasificación: exigida por la UE</t>
        </is>
      </c>
      <c r="D547" s="20" t="inlineStr">
        <is>
          <t>BZ</t>
        </is>
      </c>
      <c r="E547" s="20" t="n"/>
      <c r="F547" s="20" t="inlineStr">
        <is>
          <t>No</t>
        </is>
      </c>
    </row>
    <row r="548">
      <c r="A548" s="20" t="n">
        <v>57</v>
      </c>
      <c r="B548" s="20" t="inlineStr">
        <is>
          <t>Observatorio de Conducta Ética de la Guardia Civil</t>
        </is>
      </c>
      <c r="C548" s="20" t="inlineStr">
        <is>
          <t>Clasificación: actividad reciente</t>
        </is>
      </c>
      <c r="D548" s="20" t="inlineStr">
        <is>
          <t>CA</t>
        </is>
      </c>
      <c r="E548" s="20" t="n"/>
      <c r="F548" s="20" t="inlineStr">
        <is>
          <t>No acreditada</t>
        </is>
      </c>
    </row>
    <row r="549">
      <c r="A549" s="20" t="n">
        <v>57</v>
      </c>
      <c r="B549" s="20" t="inlineStr">
        <is>
          <t>Observatorio de Conducta Ética de la Guardia Civil</t>
        </is>
      </c>
      <c r="C549" s="20" t="inlineStr">
        <is>
          <t>Clasificación: motivo</t>
        </is>
      </c>
      <c r="D549" s="20" t="inlineStr">
        <is>
          <t>CB</t>
        </is>
      </c>
      <c r="E549" s="20" t="n"/>
      <c r="F549" s="20" t="inlineStr">
        <is>
          <t>Observatorio, consejo o comisión: el P100 los cierra salvo que su ministerio demuestre que su trabajo cambia decisiones o mejora un servicio; publicar informes no cuenta.</t>
        </is>
      </c>
    </row>
    <row r="550">
      <c r="A550" s="20" t="n">
        <v>57</v>
      </c>
      <c r="B550" s="20" t="inlineStr">
        <is>
          <t>Observatorio de Conducta Ética de la Guardia Civil</t>
        </is>
      </c>
      <c r="C550" s="20" t="inlineStr">
        <is>
          <t>Clasificación: base en el P100</t>
        </is>
      </c>
      <c r="D550" s="20" t="inlineStr">
        <is>
          <t>CC</t>
        </is>
      </c>
      <c r="E550" s="20" t="n"/>
      <c r="F550" s="20" t="inlineStr">
        <is>
          <t>Explícito en el P100: Costes del Estado 2</t>
        </is>
      </c>
    </row>
    <row r="551">
      <c r="A551" s="20" t="n">
        <v>57</v>
      </c>
      <c r="B551" s="20" t="inlineStr">
        <is>
          <t>Observatorio de Conducta Ética de la Guardia Civil</t>
        </is>
      </c>
      <c r="C551" s="20" t="inlineStr">
        <is>
          <t>Clasificación: destino de sus funciones</t>
        </is>
      </c>
      <c r="D551" s="20" t="inlineStr">
        <is>
          <t>CD</t>
        </is>
      </c>
      <c r="E551" s="20" t="n"/>
      <c r="F551" s="20" t="inlineStr">
        <is>
          <t>Estructura ordinaria del ministerio, si alguna función resultara imprescindible</t>
        </is>
      </c>
    </row>
    <row r="552">
      <c r="A552" s="20" t="n">
        <v>57</v>
      </c>
      <c r="B552" s="20" t="inlineStr">
        <is>
          <t>Observatorio de Conducta Ética de la Guardia Civil</t>
        </is>
      </c>
      <c r="C552" s="20" t="inlineStr">
        <is>
          <t>Tema funcional</t>
        </is>
      </c>
      <c r="D552" s="20" t="inlineStr">
        <is>
          <t>CE</t>
        </is>
      </c>
      <c r="E552" s="20" t="n"/>
      <c r="F552" s="20" t="inlineStr">
        <is>
          <t>Ética de la Guardia Civil</t>
        </is>
      </c>
    </row>
    <row r="553">
      <c r="A553" s="20" t="n">
        <v>57</v>
      </c>
      <c r="B553" s="20" t="inlineStr">
        <is>
          <t>Observatorio de Conducta Ética de la Guardia Civil</t>
        </is>
      </c>
      <c r="C553" s="20" t="inlineStr">
        <is>
          <t>Coste de apoyo (sin presupuesto propio): unidad, vocales y dietas</t>
        </is>
      </c>
      <c r="D553" s="20" t="inlineStr">
        <is>
          <t>CG</t>
        </is>
      </c>
      <c r="E553" s="20" t="n"/>
      <c r="F553" s="20" t="inlineStr">
        <is>
          <t>Apoyo: Es una unidad organizativa de los Servicios Centrales de la DGGC (art. 8; DF 1.ª, nivel orgánico según RPT) y se apoya en las demás jefaturas (art. 8.2); medios de la DGGC (DA única).</t>
        </is>
      </c>
    </row>
    <row r="554">
      <c r="A554" s="20" t="n">
        <v>58</v>
      </c>
      <c r="B554" s="20" t="inlineStr">
        <is>
          <t>Observatorio de Gobierno Abierto</t>
        </is>
      </c>
      <c r="C554" s="20" t="inlineStr">
        <is>
          <t>Clasificación: útil / no útil</t>
        </is>
      </c>
      <c r="D554" s="20" t="inlineStr">
        <is>
          <t>BV</t>
        </is>
      </c>
      <c r="E554" s="20" t="n"/>
      <c r="F554" s="20" t="inlineStr">
        <is>
          <t>No útil</t>
        </is>
      </c>
    </row>
    <row r="555">
      <c r="A555" s="20" t="n">
        <v>58</v>
      </c>
      <c r="B555" s="20" t="inlineStr">
        <is>
          <t>Observatorio de Gobierno Abierto</t>
        </is>
      </c>
      <c r="C555" s="20" t="inlineStr">
        <is>
          <t>Clasificación: veredicto</t>
        </is>
      </c>
      <c r="D555" s="20" t="inlineStr">
        <is>
          <t>BW</t>
        </is>
      </c>
      <c r="E555" s="20" t="n"/>
      <c r="F555" s="20" t="inlineStr">
        <is>
          <t>Suprimir</t>
        </is>
      </c>
    </row>
    <row r="556">
      <c r="A556" s="20" t="n">
        <v>58</v>
      </c>
      <c r="B556" s="20" t="inlineStr">
        <is>
          <t>Observatorio de Gobierno Abierto</t>
        </is>
      </c>
      <c r="C556" s="20" t="inlineStr">
        <is>
          <t>Clasificación: función</t>
        </is>
      </c>
      <c r="D556" s="20" t="inlineStr">
        <is>
          <t>BX</t>
        </is>
      </c>
      <c r="E556" s="20" t="n"/>
      <c r="F556" s="20" t="inlineStr">
        <is>
          <t>Consultivo o participación</t>
        </is>
      </c>
    </row>
    <row r="557">
      <c r="A557" s="20" t="n">
        <v>58</v>
      </c>
      <c r="B557" s="20" t="inlineStr">
        <is>
          <t>Observatorio de Gobierno Abierto</t>
        </is>
      </c>
      <c r="C557" s="20" t="inlineStr">
        <is>
          <t>Clasificación: exigida por la UE</t>
        </is>
      </c>
      <c r="D557" s="20" t="inlineStr">
        <is>
          <t>BZ</t>
        </is>
      </c>
      <c r="E557" s="20" t="n"/>
      <c r="F557" s="20" t="inlineStr">
        <is>
          <t>No</t>
        </is>
      </c>
    </row>
    <row r="558">
      <c r="A558" s="20" t="n">
        <v>58</v>
      </c>
      <c r="B558" s="20" t="inlineStr">
        <is>
          <t>Observatorio de Gobierno Abierto</t>
        </is>
      </c>
      <c r="C558" s="20" t="inlineStr">
        <is>
          <t>Clasificación: actividad reciente</t>
        </is>
      </c>
      <c r="D558" s="20" t="inlineStr">
        <is>
          <t>CA</t>
        </is>
      </c>
      <c r="E558" s="20" t="n"/>
      <c r="F558" s="20" t="inlineStr">
        <is>
          <t>No acreditada</t>
        </is>
      </c>
    </row>
    <row r="559">
      <c r="A559" s="20" t="n">
        <v>58</v>
      </c>
      <c r="B559" s="20" t="inlineStr">
        <is>
          <t>Observatorio de Gobierno Abierto</t>
        </is>
      </c>
      <c r="C559" s="20" t="inlineStr">
        <is>
          <t>Clasificación: motivo</t>
        </is>
      </c>
      <c r="D559" s="20" t="inlineStr">
        <is>
          <t>CB</t>
        </is>
      </c>
      <c r="E559" s="20" t="n"/>
      <c r="F559" s="20" t="inlineStr">
        <is>
          <t>Observatorio, consejo o comisión: el P100 los cierra salvo que su ministerio demuestre que su trabajo cambia decisiones o mejora un servicio; publicar informes no cuenta.</t>
        </is>
      </c>
    </row>
    <row r="560">
      <c r="A560" s="20" t="n">
        <v>58</v>
      </c>
      <c r="B560" s="20" t="inlineStr">
        <is>
          <t>Observatorio de Gobierno Abierto</t>
        </is>
      </c>
      <c r="C560" s="20" t="inlineStr">
        <is>
          <t>Clasificación: base en el P100</t>
        </is>
      </c>
      <c r="D560" s="20" t="inlineStr">
        <is>
          <t>CC</t>
        </is>
      </c>
      <c r="E560" s="20" t="n"/>
      <c r="F560" s="20" t="inlineStr">
        <is>
          <t>Explícito en el P100: Costes del Estado 2</t>
        </is>
      </c>
    </row>
    <row r="561">
      <c r="A561" s="20" t="n">
        <v>58</v>
      </c>
      <c r="B561" s="20" t="inlineStr">
        <is>
          <t>Observatorio de Gobierno Abierto</t>
        </is>
      </c>
      <c r="C561" s="20" t="inlineStr">
        <is>
          <t>Clasificación: destino de sus funciones</t>
        </is>
      </c>
      <c r="D561" s="20" t="inlineStr">
        <is>
          <t>CD</t>
        </is>
      </c>
      <c r="E561" s="20" t="n"/>
      <c r="F561" s="20" t="inlineStr">
        <is>
          <t>Estructura ordinaria del ministerio, si alguna función resultara imprescindible</t>
        </is>
      </c>
    </row>
    <row r="562">
      <c r="A562" s="20" t="n">
        <v>58</v>
      </c>
      <c r="B562" s="20" t="inlineStr">
        <is>
          <t>Observatorio de Gobierno Abierto</t>
        </is>
      </c>
      <c r="C562" s="20" t="inlineStr">
        <is>
          <t>Tema funcional</t>
        </is>
      </c>
      <c r="D562" s="20" t="inlineStr">
        <is>
          <t>CE</t>
        </is>
      </c>
      <c r="E562" s="20" t="n"/>
      <c r="F562" s="20" t="inlineStr">
        <is>
          <t>Gobierno abierto</t>
        </is>
      </c>
    </row>
    <row r="563">
      <c r="A563" s="20" t="n">
        <v>58</v>
      </c>
      <c r="B563" s="20" t="inlineStr">
        <is>
          <t>Observatorio de Gobierno Abierto</t>
        </is>
      </c>
      <c r="C563" s="20" t="inlineStr">
        <is>
          <t>Coste de apoyo (sin presupuesto propio): unidad, vocales y dietas</t>
        </is>
      </c>
      <c r="D563" s="20" t="inlineStr">
        <is>
          <t>CG</t>
        </is>
      </c>
      <c r="E563" s="20" t="n"/>
      <c r="F563" s="20" t="inlineStr">
        <is>
          <t>Apoyo: MTDFP a través de la SE de Función Pública, que diseña y mantiene el Observatorio (art. 19.2 RD 371/2026); DG de Gobernanza Pública, para los cauces de buenas prácticas (art. 19.6); SG de Gobierno Abierto, secretaría del Foro (art. 13.1).</t>
        </is>
      </c>
    </row>
    <row r="564">
      <c r="A564" s="20" t="n">
        <v>59</v>
      </c>
      <c r="B564" s="20" t="inlineStr">
        <is>
          <t>Observatorio de Digitalización del Sector Agroalimentario</t>
        </is>
      </c>
      <c r="C564" s="20" t="inlineStr">
        <is>
          <t>Estado de cuantificación</t>
        </is>
      </c>
      <c r="D564" s="20" t="inlineStr">
        <is>
          <t>O</t>
        </is>
      </c>
      <c r="E564" s="20" t="inlineStr">
        <is>
          <t>Sin cifra propia actual verificada</t>
        </is>
      </c>
      <c r="F564" s="20" t="inlineStr">
        <is>
          <t>Sin presupuesto propio: órgano sin dotación diferenciada (financiación por convenio, verificada en BOE)</t>
        </is>
      </c>
    </row>
    <row r="565">
      <c r="A565" s="20" t="n">
        <v>59</v>
      </c>
      <c r="B565" s="20" t="inlineStr">
        <is>
          <t>Observatorio de Digitalización del Sector Agroalimentario</t>
        </is>
      </c>
      <c r="C565" s="20" t="inlineStr">
        <is>
          <t>Fuentes de la ficha</t>
        </is>
      </c>
      <c r="D565" s="20" t="inlineStr">
        <is>
          <t>Z</t>
        </is>
      </c>
      <c r="E565" s="20" t="inlineStr">
        <is>
          <t>https://www.boe.es/boe/dias/2021/10/19/pdfs/BOE-A-2021-17025.pdf
https://www.boe.es/diario_boe/txt.php?id=BOE-A-2024-323</t>
        </is>
      </c>
      <c r="F565" s="20" t="inlineStr">
        <is>
          <t>https://www.boe.es/boe/dias/2021/10/19/pdfs/BOE-A-2021-17025.pdf
https://www.boe.es/diario_boe/txt.php?id=BOE-A-2024-323
https://www.boe.es/diario_boe/txt.php?id=BOE-A-2025-26325</t>
        </is>
      </c>
    </row>
    <row r="566">
      <c r="A566" s="20" t="n">
        <v>59</v>
      </c>
      <c r="B566" s="20" t="inlineStr">
        <is>
          <t>Observatorio de Digitalización del Sector Agroalimentario</t>
        </is>
      </c>
      <c r="C566" s="20" t="inlineStr">
        <is>
          <t>Clasificación: útil / no útil</t>
        </is>
      </c>
      <c r="D566" s="20" t="inlineStr">
        <is>
          <t>BV</t>
        </is>
      </c>
      <c r="E566" s="20" t="n"/>
      <c r="F566" s="20" t="inlineStr">
        <is>
          <t>No útil</t>
        </is>
      </c>
    </row>
    <row r="567">
      <c r="A567" s="20" t="n">
        <v>59</v>
      </c>
      <c r="B567" s="20" t="inlineStr">
        <is>
          <t>Observatorio de Digitalización del Sector Agroalimentario</t>
        </is>
      </c>
      <c r="C567" s="20" t="inlineStr">
        <is>
          <t>Clasificación: veredicto</t>
        </is>
      </c>
      <c r="D567" s="20" t="inlineStr">
        <is>
          <t>BW</t>
        </is>
      </c>
      <c r="E567" s="20" t="n"/>
      <c r="F567" s="20" t="inlineStr">
        <is>
          <t>Suprimir</t>
        </is>
      </c>
    </row>
    <row r="568">
      <c r="A568" s="20" t="n">
        <v>59</v>
      </c>
      <c r="B568" s="20" t="inlineStr">
        <is>
          <t>Observatorio de Digitalización del Sector Agroalimentario</t>
        </is>
      </c>
      <c r="C568" s="20" t="inlineStr">
        <is>
          <t>Clasificación: función</t>
        </is>
      </c>
      <c r="D568" s="20" t="inlineStr">
        <is>
          <t>BX</t>
        </is>
      </c>
      <c r="E568" s="20" t="n"/>
      <c r="F568" s="20" t="inlineStr">
        <is>
          <t>Consultivo o participación</t>
        </is>
      </c>
    </row>
    <row r="569">
      <c r="A569" s="20" t="n">
        <v>59</v>
      </c>
      <c r="B569" s="20" t="inlineStr">
        <is>
          <t>Observatorio de Digitalización del Sector Agroalimentario</t>
        </is>
      </c>
      <c r="C569" s="20" t="inlineStr">
        <is>
          <t>Clasificación: exigida por la UE</t>
        </is>
      </c>
      <c r="D569" s="20" t="inlineStr">
        <is>
          <t>BZ</t>
        </is>
      </c>
      <c r="E569" s="20" t="n"/>
      <c r="F569" s="20" t="inlineStr">
        <is>
          <t>No</t>
        </is>
      </c>
    </row>
    <row r="570">
      <c r="A570" s="20" t="n">
        <v>59</v>
      </c>
      <c r="B570" s="20" t="inlineStr">
        <is>
          <t>Observatorio de Digitalización del Sector Agroalimentario</t>
        </is>
      </c>
      <c r="C570" s="20" t="inlineStr">
        <is>
          <t>Clasificación: actividad reciente</t>
        </is>
      </c>
      <c r="D570" s="20" t="inlineStr">
        <is>
          <t>CA</t>
        </is>
      </c>
      <c r="E570" s="20" t="n"/>
      <c r="F570" s="20" t="inlineStr">
        <is>
          <t>Acreditada</t>
        </is>
      </c>
    </row>
    <row r="571">
      <c r="A571" s="20" t="n">
        <v>59</v>
      </c>
      <c r="B571" s="20" t="inlineStr">
        <is>
          <t>Observatorio de Digitalización del Sector Agroalimentario</t>
        </is>
      </c>
      <c r="C571" s="20" t="inlineStr">
        <is>
          <t>Clasificación: motivo</t>
        </is>
      </c>
      <c r="D571" s="20" t="inlineStr">
        <is>
          <t>CB</t>
        </is>
      </c>
      <c r="E571" s="20" t="n"/>
      <c r="F571" s="20" t="inlineStr">
        <is>
          <t>Observatorio, consejo o comisión: el P100 los cierra salvo que su ministerio demuestre que su trabajo cambia decisiones o mejora un servicio; publicar informes no cuenta.</t>
        </is>
      </c>
    </row>
    <row r="572">
      <c r="A572" s="20" t="n">
        <v>59</v>
      </c>
      <c r="B572" s="20" t="inlineStr">
        <is>
          <t>Observatorio de Digitalización del Sector Agroalimentario</t>
        </is>
      </c>
      <c r="C572" s="20" t="inlineStr">
        <is>
          <t>Clasificación: base en el P100</t>
        </is>
      </c>
      <c r="D572" s="20" t="inlineStr">
        <is>
          <t>CC</t>
        </is>
      </c>
      <c r="E572" s="20" t="n"/>
      <c r="F572" s="20" t="inlineStr">
        <is>
          <t>Explícito en el P100: Costes del Estado 2</t>
        </is>
      </c>
    </row>
    <row r="573">
      <c r="A573" s="20" t="n">
        <v>59</v>
      </c>
      <c r="B573" s="20" t="inlineStr">
        <is>
          <t>Observatorio de Digitalización del Sector Agroalimentario</t>
        </is>
      </c>
      <c r="C573" s="20" t="inlineStr">
        <is>
          <t>Clasificación: destino de sus funciones</t>
        </is>
      </c>
      <c r="D573" s="20" t="inlineStr">
        <is>
          <t>CD</t>
        </is>
      </c>
      <c r="E573" s="20" t="n"/>
      <c r="F573" s="20" t="inlineStr">
        <is>
          <t>Estructura ordinaria del ministerio, si alguna función resultara imprescindible</t>
        </is>
      </c>
    </row>
    <row r="574">
      <c r="A574" s="20" t="n">
        <v>59</v>
      </c>
      <c r="B574" s="20" t="inlineStr">
        <is>
          <t>Observatorio de Digitalización del Sector Agroalimentario</t>
        </is>
      </c>
      <c r="C574" s="20" t="inlineStr">
        <is>
          <t>Tema funcional</t>
        </is>
      </c>
      <c r="D574" s="20" t="inlineStr">
        <is>
          <t>CE</t>
        </is>
      </c>
      <c r="E574" s="20" t="n"/>
      <c r="F574" s="20" t="inlineStr">
        <is>
          <t>Digitalización agroalimentaria</t>
        </is>
      </c>
    </row>
    <row r="575">
      <c r="A575" s="20" t="n">
        <v>59</v>
      </c>
      <c r="B575" s="20" t="inlineStr">
        <is>
          <t>Observatorio de Digitalización del Sector Agroalimentario</t>
        </is>
      </c>
      <c r="C575" s="20" t="inlineStr">
        <is>
          <t>Coste de apoyo (sin presupuesto propio): unidad, vocales y dietas</t>
        </is>
      </c>
      <c r="D575" s="20" t="inlineStr">
        <is>
          <t>CG</t>
        </is>
      </c>
      <c r="E575" s="20" t="n"/>
      <c r="F575" s="20" t="inlineStr">
        <is>
          <t>Apoyo: Por el MAPA, medios humanos de la SG de Innovación y Digitalización (DGDRIFA); Cajamar ejecuta con medios propios (Plan Director y oficina técnica; adenda 2023, cláusula 4.ª). gasto con nombre propio: 1.570.000 EUR: presupuesto total del convenio MAPA-Cajamar 2021-2026, con anualidad 2026 de 200.000 EUR (segunda adenda, cláusula 6.ª, BOE 22/12/2025, https://www.boe.es/diario_boe/txt.php?id=BOE-A-2025-26325).</t>
        </is>
      </c>
    </row>
    <row r="576">
      <c r="A576" s="20" t="n">
        <v>60</v>
      </c>
      <c r="B576" s="20" t="inlineStr">
        <is>
          <t>Observatorio de Derechos Digitales</t>
        </is>
      </c>
      <c r="C576" s="20" t="inlineStr">
        <is>
          <t>Estado de cuantificación</t>
        </is>
      </c>
      <c r="D576" s="20" t="inlineStr">
        <is>
          <t>O</t>
        </is>
      </c>
      <c r="E576" s="20" t="inlineStr">
        <is>
          <t>Sin cifra propia actual verificada</t>
        </is>
      </c>
      <c r="F576" s="20" t="inlineStr">
        <is>
          <t>Sin presupuesto propio: órgano sin dotación diferenciada (financiación por convenio, verificada en BOE)</t>
        </is>
      </c>
    </row>
    <row r="577">
      <c r="A577" s="20" t="n">
        <v>60</v>
      </c>
      <c r="B577" s="20" t="inlineStr">
        <is>
          <t>Observatorio de Derechos Digitales</t>
        </is>
      </c>
      <c r="C577" s="20" t="inlineStr">
        <is>
          <t>Fuentes de la ficha</t>
        </is>
      </c>
      <c r="D577" s="20" t="inlineStr">
        <is>
          <t>Z</t>
        </is>
      </c>
      <c r="E577" s="20" t="inlineStr">
        <is>
          <t>https://boe.es/boe/dias/2024/07/10/pdfs/BOE-A-2024-14138.pdf
https://www.red.es/es/area-prensa/notas-prensa/el-observatorio-de-derechos-digitales-realiza-mas-de-20-acciones-para</t>
        </is>
      </c>
      <c r="F577" s="20" t="inlineStr">
        <is>
          <t>https://boe.es/boe/dias/2024/07/10/pdfs/BOE-A-2024-14138.pdf
https://www.red.es/es/area-prensa/notas-prensa/el-observatorio-de-derechos-digitales-realiza-mas-de-20-acciones-para
https://www.boe.es/diario_boe/txt.php?id=BOE-A-2024-14138</t>
        </is>
      </c>
    </row>
    <row r="578">
      <c r="A578" s="20" t="n">
        <v>60</v>
      </c>
      <c r="B578" s="20" t="inlineStr">
        <is>
          <t>Observatorio de Derechos Digitales</t>
        </is>
      </c>
      <c r="C578" s="20" t="inlineStr">
        <is>
          <t>Clasificación: útil / no útil</t>
        </is>
      </c>
      <c r="D578" s="20" t="inlineStr">
        <is>
          <t>BV</t>
        </is>
      </c>
      <c r="E578" s="20" t="n"/>
      <c r="F578" s="20" t="inlineStr">
        <is>
          <t>No útil</t>
        </is>
      </c>
    </row>
    <row r="579">
      <c r="A579" s="20" t="n">
        <v>60</v>
      </c>
      <c r="B579" s="20" t="inlineStr">
        <is>
          <t>Observatorio de Derechos Digitales</t>
        </is>
      </c>
      <c r="C579" s="20" t="inlineStr">
        <is>
          <t>Clasificación: veredicto</t>
        </is>
      </c>
      <c r="D579" s="20" t="inlineStr">
        <is>
          <t>BW</t>
        </is>
      </c>
      <c r="E579" s="20" t="n"/>
      <c r="F579" s="20" t="inlineStr">
        <is>
          <t>Suprimir</t>
        </is>
      </c>
    </row>
    <row r="580">
      <c r="A580" s="20" t="n">
        <v>60</v>
      </c>
      <c r="B580" s="20" t="inlineStr">
        <is>
          <t>Observatorio de Derechos Digitales</t>
        </is>
      </c>
      <c r="C580" s="20" t="inlineStr">
        <is>
          <t>Clasificación: función</t>
        </is>
      </c>
      <c r="D580" s="20" t="inlineStr">
        <is>
          <t>BX</t>
        </is>
      </c>
      <c r="E580" s="20" t="n"/>
      <c r="F580" s="20" t="inlineStr">
        <is>
          <t>Consultivo o participación</t>
        </is>
      </c>
    </row>
    <row r="581">
      <c r="A581" s="20" t="n">
        <v>60</v>
      </c>
      <c r="B581" s="20" t="inlineStr">
        <is>
          <t>Observatorio de Derechos Digitales</t>
        </is>
      </c>
      <c r="C581" s="20" t="inlineStr">
        <is>
          <t>Clasificación: exigida por la UE</t>
        </is>
      </c>
      <c r="D581" s="20" t="inlineStr">
        <is>
          <t>BZ</t>
        </is>
      </c>
      <c r="E581" s="20" t="n"/>
      <c r="F581" s="20" t="inlineStr">
        <is>
          <t>No</t>
        </is>
      </c>
    </row>
    <row r="582">
      <c r="A582" s="20" t="n">
        <v>60</v>
      </c>
      <c r="B582" s="20" t="inlineStr">
        <is>
          <t>Observatorio de Derechos Digitales</t>
        </is>
      </c>
      <c r="C582" s="20" t="inlineStr">
        <is>
          <t>Clasificación: actividad reciente</t>
        </is>
      </c>
      <c r="D582" s="20" t="inlineStr">
        <is>
          <t>CA</t>
        </is>
      </c>
      <c r="E582" s="20" t="n"/>
      <c r="F582" s="20" t="inlineStr">
        <is>
          <t>Acreditada</t>
        </is>
      </c>
    </row>
    <row r="583">
      <c r="A583" s="20" t="n">
        <v>60</v>
      </c>
      <c r="B583" s="20" t="inlineStr">
        <is>
          <t>Observatorio de Derechos Digitales</t>
        </is>
      </c>
      <c r="C583" s="20" t="inlineStr">
        <is>
          <t>Clasificación: motivo</t>
        </is>
      </c>
      <c r="D583" s="20" t="inlineStr">
        <is>
          <t>CB</t>
        </is>
      </c>
      <c r="E583" s="20" t="n"/>
      <c r="F583" s="20" t="inlineStr">
        <is>
          <t>Observatorio, consejo o comisión: el P100 los cierra salvo que su ministerio demuestre que su trabajo cambia decisiones o mejora un servicio; publicar informes no cuenta.</t>
        </is>
      </c>
    </row>
    <row r="584">
      <c r="A584" s="20" t="n">
        <v>60</v>
      </c>
      <c r="B584" s="20" t="inlineStr">
        <is>
          <t>Observatorio de Derechos Digitales</t>
        </is>
      </c>
      <c r="C584" s="20" t="inlineStr">
        <is>
          <t>Clasificación: base en el P100</t>
        </is>
      </c>
      <c r="D584" s="20" t="inlineStr">
        <is>
          <t>CC</t>
        </is>
      </c>
      <c r="E584" s="20" t="n"/>
      <c r="F584" s="20" t="inlineStr">
        <is>
          <t>Explícito en el P100: Costes del Estado 2</t>
        </is>
      </c>
    </row>
    <row r="585">
      <c r="A585" s="20" t="n">
        <v>60</v>
      </c>
      <c r="B585" s="20" t="inlineStr">
        <is>
          <t>Observatorio de Derechos Digitales</t>
        </is>
      </c>
      <c r="C585" s="20" t="inlineStr">
        <is>
          <t>Clasificación: destino de sus funciones</t>
        </is>
      </c>
      <c r="D585" s="20" t="inlineStr">
        <is>
          <t>CD</t>
        </is>
      </c>
      <c r="E585" s="20" t="n"/>
      <c r="F585" s="20" t="inlineStr">
        <is>
          <t>Estructura ordinaria del ministerio, si alguna función resultara imprescindible</t>
        </is>
      </c>
    </row>
    <row r="586">
      <c r="A586" s="20" t="n">
        <v>60</v>
      </c>
      <c r="B586" s="20" t="inlineStr">
        <is>
          <t>Observatorio de Derechos Digitales</t>
        </is>
      </c>
      <c r="C586" s="20" t="inlineStr">
        <is>
          <t>Tema funcional</t>
        </is>
      </c>
      <c r="D586" s="20" t="inlineStr">
        <is>
          <t>CE</t>
        </is>
      </c>
      <c r="E586" s="20" t="n"/>
      <c r="F586" s="20" t="inlineStr">
        <is>
          <t>Derechos digitales</t>
        </is>
      </c>
    </row>
    <row r="587">
      <c r="A587" s="20" t="n">
        <v>60</v>
      </c>
      <c r="B587" s="20" t="inlineStr">
        <is>
          <t>Observatorio de Derechos Digitales</t>
        </is>
      </c>
      <c r="C587" s="20" t="inlineStr">
        <is>
          <t>Coste de apoyo (sin presupuesto propio): unidad, vocales y dietas</t>
        </is>
      </c>
      <c r="D587" s="20" t="inlineStr">
        <is>
          <t>CG</t>
        </is>
      </c>
      <c r="E587" s="20" t="n"/>
      <c r="F587" s="20" t="inlineStr">
        <is>
          <t>Apoyo: Red.es (EPE del MTDFP) financia y supervisa; ejecuta el grupo de entidades coordinado por la Fundación Instituto Hermes, con medios propios (convenio BOE-A-2024-14138). gasto con nombre propio: Hasta 4.781.250 EUR: Red.es aporta hasta 3.825.000 EUR (80 %, PRTR) y las entidades al menos 956.250 EUR en especie; anualidad 2026 de 1.434.375 EUR (cláusula 4.ª, https://www.boe.es/diario_boe/txt.php?id=BOE-A-2024-14138).</t>
        </is>
      </c>
    </row>
    <row r="588">
      <c r="A588" s="20" t="n">
        <v>61</v>
      </c>
      <c r="B588" s="20" t="inlineStr">
        <is>
          <t>Consejo de Desarrollo Sostenible</t>
        </is>
      </c>
      <c r="C588" s="20" t="inlineStr">
        <is>
          <t>Fuentes de la ficha</t>
        </is>
      </c>
      <c r="D588" s="20" t="inlineStr">
        <is>
          <t>Z</t>
        </is>
      </c>
      <c r="E588" s="20" t="inlineStr">
        <is>
          <t>https://boe.es/diario_boe/txt.php?id=BOE-A-2019-2554
https://www.boe.es/eli/es/o/2020/09/03/dsa819</t>
        </is>
      </c>
      <c r="F588" s="20" t="inlineStr">
        <is>
          <t>https://boe.es/diario_boe/txt.php?id=BOE-A-2019-2554
https://www.boe.es/eli/es/o/2020/09/03/dsa819
https://www.boe.es/eli/es/o/2020/09/03/dsa819/con</t>
        </is>
      </c>
    </row>
    <row r="589">
      <c r="A589" s="20" t="n">
        <v>61</v>
      </c>
      <c r="B589" s="20" t="inlineStr">
        <is>
          <t>Consejo de Desarrollo Sostenible</t>
        </is>
      </c>
      <c r="C589" s="20" t="inlineStr">
        <is>
          <t>Clasificación: útil / no útil</t>
        </is>
      </c>
      <c r="D589" s="20" t="inlineStr">
        <is>
          <t>BV</t>
        </is>
      </c>
      <c r="E589" s="20" t="n"/>
      <c r="F589" s="20" t="inlineStr">
        <is>
          <t>No útil</t>
        </is>
      </c>
    </row>
    <row r="590">
      <c r="A590" s="20" t="n">
        <v>61</v>
      </c>
      <c r="B590" s="20" t="inlineStr">
        <is>
          <t>Consejo de Desarrollo Sostenible</t>
        </is>
      </c>
      <c r="C590" s="20" t="inlineStr">
        <is>
          <t>Clasificación: veredicto</t>
        </is>
      </c>
      <c r="D590" s="20" t="inlineStr">
        <is>
          <t>BW</t>
        </is>
      </c>
      <c r="E590" s="20" t="n"/>
      <c r="F590" s="20" t="inlineStr">
        <is>
          <t>Suprimir</t>
        </is>
      </c>
    </row>
    <row r="591">
      <c r="A591" s="20" t="n">
        <v>61</v>
      </c>
      <c r="B591" s="20" t="inlineStr">
        <is>
          <t>Consejo de Desarrollo Sostenible</t>
        </is>
      </c>
      <c r="C591" s="20" t="inlineStr">
        <is>
          <t>Clasificación: función</t>
        </is>
      </c>
      <c r="D591" s="20" t="inlineStr">
        <is>
          <t>BX</t>
        </is>
      </c>
      <c r="E591" s="20" t="n"/>
      <c r="F591" s="20" t="inlineStr">
        <is>
          <t>Consultivo o participación</t>
        </is>
      </c>
    </row>
    <row r="592">
      <c r="A592" s="20" t="n">
        <v>61</v>
      </c>
      <c r="B592" s="20" t="inlineStr">
        <is>
          <t>Consejo de Desarrollo Sostenible</t>
        </is>
      </c>
      <c r="C592" s="20" t="inlineStr">
        <is>
          <t>Clasificación: exigida por la UE</t>
        </is>
      </c>
      <c r="D592" s="20" t="inlineStr">
        <is>
          <t>BZ</t>
        </is>
      </c>
      <c r="E592" s="20" t="n"/>
      <c r="F592" s="20" t="inlineStr">
        <is>
          <t>No</t>
        </is>
      </c>
    </row>
    <row r="593">
      <c r="A593" s="20" t="n">
        <v>61</v>
      </c>
      <c r="B593" s="20" t="inlineStr">
        <is>
          <t>Consejo de Desarrollo Sostenible</t>
        </is>
      </c>
      <c r="C593" s="20" t="inlineStr">
        <is>
          <t>Clasificación: actividad reciente</t>
        </is>
      </c>
      <c r="D593" s="20" t="inlineStr">
        <is>
          <t>CA</t>
        </is>
      </c>
      <c r="E593" s="20" t="n"/>
      <c r="F593" s="20" t="inlineStr">
        <is>
          <t>No acreditada</t>
        </is>
      </c>
    </row>
    <row r="594">
      <c r="A594" s="20" t="n">
        <v>61</v>
      </c>
      <c r="B594" s="20" t="inlineStr">
        <is>
          <t>Consejo de Desarrollo Sostenible</t>
        </is>
      </c>
      <c r="C594" s="20" t="inlineStr">
        <is>
          <t>Clasificación: motivo</t>
        </is>
      </c>
      <c r="D594" s="20" t="inlineStr">
        <is>
          <t>CB</t>
        </is>
      </c>
      <c r="E594" s="20" t="n"/>
      <c r="F594" s="20" t="inlineStr">
        <is>
          <t>Observatorio, consejo o comisión: el P100 los cierra salvo que su ministerio demuestre que su trabajo cambia decisiones o mejora un servicio; publicar informes no cuenta.</t>
        </is>
      </c>
    </row>
    <row r="595">
      <c r="A595" s="20" t="n">
        <v>61</v>
      </c>
      <c r="B595" s="20" t="inlineStr">
        <is>
          <t>Consejo de Desarrollo Sostenible</t>
        </is>
      </c>
      <c r="C595" s="20" t="inlineStr">
        <is>
          <t>Clasificación: base en el P100</t>
        </is>
      </c>
      <c r="D595" s="20" t="inlineStr">
        <is>
          <t>CC</t>
        </is>
      </c>
      <c r="E595" s="20" t="n"/>
      <c r="F595" s="20" t="inlineStr">
        <is>
          <t>Explícito en el P100: Costes del Estado 2</t>
        </is>
      </c>
    </row>
    <row r="596">
      <c r="A596" s="20" t="n">
        <v>61</v>
      </c>
      <c r="B596" s="20" t="inlineStr">
        <is>
          <t>Consejo de Desarrollo Sostenible</t>
        </is>
      </c>
      <c r="C596" s="20" t="inlineStr">
        <is>
          <t>Clasificación: destino de sus funciones</t>
        </is>
      </c>
      <c r="D596" s="20" t="inlineStr">
        <is>
          <t>CD</t>
        </is>
      </c>
      <c r="E596" s="20" t="n"/>
      <c r="F596" s="20" t="inlineStr">
        <is>
          <t>Estructura ordinaria del ministerio, si alguna función resultara imprescindible</t>
        </is>
      </c>
    </row>
    <row r="597">
      <c r="A597" s="20" t="n">
        <v>61</v>
      </c>
      <c r="B597" s="20" t="inlineStr">
        <is>
          <t>Consejo de Desarrollo Sostenible</t>
        </is>
      </c>
      <c r="C597" s="20" t="inlineStr">
        <is>
          <t>Tema funcional</t>
        </is>
      </c>
      <c r="D597" s="20" t="inlineStr">
        <is>
          <t>CE</t>
        </is>
      </c>
      <c r="E597" s="20" t="n"/>
      <c r="F597" s="20" t="inlineStr">
        <is>
          <t>Agenda 2030</t>
        </is>
      </c>
    </row>
    <row r="598">
      <c r="A598" s="20" t="n">
        <v>61</v>
      </c>
      <c r="B598" s="20" t="inlineStr">
        <is>
          <t>Consejo de Desarrollo Sostenible</t>
        </is>
      </c>
      <c r="C598" s="20" t="inlineStr">
        <is>
          <t>Coste de apoyo (sin presupuesto propio): unidad, vocales y dietas</t>
        </is>
      </c>
      <c r="D598" s="20" t="inlineStr">
        <is>
          <t>CG</t>
        </is>
      </c>
      <c r="E598" s="20" t="n"/>
      <c r="F598" s="20" t="inlineStr">
        <is>
          <t>Apoyo: DG de Políticas Palanca para el Cumplimiento de la Agenda 2030 (secretaría, apdo. Tercero.4); el Ministerio facilita los medios personales y materiales (apdo. Octavo.3), y además hay asistencia técnica contratada. vocales: 61. miembros: no retribuidos (apdo. Octavo.1 Orden DSA/819/2020: «no percibirán remuneración alguna por el ejercicio de sus funciones»). gasto con nombre propio: 153.620,64 EUR (valor estimado, sin IVA): licitación de 2024 del «Servicio de asesoramiento y asistencia técnica al Consejo de Desarrollo Sostenible y a sus grupos de trabajo técnicos», exp. 242907PA0001, DOUE S 180/2024 de 16/09/2024 (https://ted.europa.eu/es/notice/554472-2024/pdf).</t>
        </is>
      </c>
    </row>
    <row r="599">
      <c r="A599" s="20" t="n">
        <v>62</v>
      </c>
      <c r="B599" s="20" t="inlineStr">
        <is>
          <t>Consejo de Participación de las Personas LGTBI</t>
        </is>
      </c>
      <c r="C599" s="20" t="inlineStr">
        <is>
          <t>Fuentes de la ficha</t>
        </is>
      </c>
      <c r="D599" s="20" t="inlineStr">
        <is>
          <t>Z</t>
        </is>
      </c>
      <c r="E599" s="20" t="inlineStr">
        <is>
          <t>https://www.boe.es/buscar/doc.php?id=BOE-A-2020-6840</t>
        </is>
      </c>
      <c r="F599" s="20" t="inlineStr">
        <is>
          <t>https://www.boe.es/buscar/doc.php?id=BOE-A-2020-6840
https://www.boe.es/eli/es/o/2020/06/24/igd577/con</t>
        </is>
      </c>
    </row>
    <row r="600">
      <c r="A600" s="20" t="n">
        <v>62</v>
      </c>
      <c r="B600" s="20" t="inlineStr">
        <is>
          <t>Consejo de Participación de las Personas LGTBI</t>
        </is>
      </c>
      <c r="C600" s="20" t="inlineStr">
        <is>
          <t>Clasificación: útil / no útil</t>
        </is>
      </c>
      <c r="D600" s="20" t="inlineStr">
        <is>
          <t>BV</t>
        </is>
      </c>
      <c r="E600" s="20" t="n"/>
      <c r="F600" s="20" t="inlineStr">
        <is>
          <t>No útil</t>
        </is>
      </c>
    </row>
    <row r="601">
      <c r="A601" s="20" t="n">
        <v>62</v>
      </c>
      <c r="B601" s="20" t="inlineStr">
        <is>
          <t>Consejo de Participación de las Personas LGTBI</t>
        </is>
      </c>
      <c r="C601" s="20" t="inlineStr">
        <is>
          <t>Clasificación: veredicto</t>
        </is>
      </c>
      <c r="D601" s="20" t="inlineStr">
        <is>
          <t>BW</t>
        </is>
      </c>
      <c r="E601" s="20" t="n"/>
      <c r="F601" s="20" t="inlineStr">
        <is>
          <t>Suprimir</t>
        </is>
      </c>
    </row>
    <row r="602">
      <c r="A602" s="20" t="n">
        <v>62</v>
      </c>
      <c r="B602" s="20" t="inlineStr">
        <is>
          <t>Consejo de Participación de las Personas LGTBI</t>
        </is>
      </c>
      <c r="C602" s="20" t="inlineStr">
        <is>
          <t>Clasificación: función</t>
        </is>
      </c>
      <c r="D602" s="20" t="inlineStr">
        <is>
          <t>BX</t>
        </is>
      </c>
      <c r="E602" s="20" t="n"/>
      <c r="F602" s="20" t="inlineStr">
        <is>
          <t>Consultivo o participación</t>
        </is>
      </c>
    </row>
    <row r="603">
      <c r="A603" s="20" t="n">
        <v>62</v>
      </c>
      <c r="B603" s="20" t="inlineStr">
        <is>
          <t>Consejo de Participación de las Personas LGTBI</t>
        </is>
      </c>
      <c r="C603" s="20" t="inlineStr">
        <is>
          <t>Clasificación: exigida por la UE</t>
        </is>
      </c>
      <c r="D603" s="20" t="inlineStr">
        <is>
          <t>BZ</t>
        </is>
      </c>
      <c r="E603" s="20" t="n"/>
      <c r="F603" s="20" t="inlineStr">
        <is>
          <t>No</t>
        </is>
      </c>
    </row>
    <row r="604">
      <c r="A604" s="20" t="n">
        <v>62</v>
      </c>
      <c r="B604" s="20" t="inlineStr">
        <is>
          <t>Consejo de Participación de las Personas LGTBI</t>
        </is>
      </c>
      <c r="C604" s="20" t="inlineStr">
        <is>
          <t>Clasificación: actividad reciente</t>
        </is>
      </c>
      <c r="D604" s="20" t="inlineStr">
        <is>
          <t>CA</t>
        </is>
      </c>
      <c r="E604" s="20" t="n"/>
      <c r="F604" s="20" t="inlineStr">
        <is>
          <t>No acreditada</t>
        </is>
      </c>
    </row>
    <row r="605">
      <c r="A605" s="20" t="n">
        <v>62</v>
      </c>
      <c r="B605" s="20" t="inlineStr">
        <is>
          <t>Consejo de Participación de las Personas LGTBI</t>
        </is>
      </c>
      <c r="C605" s="20" t="inlineStr">
        <is>
          <t>Clasificación: motivo</t>
        </is>
      </c>
      <c r="D605" s="20" t="inlineStr">
        <is>
          <t>CB</t>
        </is>
      </c>
      <c r="E605" s="20" t="n"/>
      <c r="F605" s="20" t="inlineStr">
        <is>
          <t>Observatorio, consejo o comisión: el P100 los cierra salvo que su ministerio demuestre que su trabajo cambia decisiones o mejora un servicio; publicar informes no cuenta.</t>
        </is>
      </c>
    </row>
    <row r="606">
      <c r="A606" s="20" t="n">
        <v>62</v>
      </c>
      <c r="B606" s="20" t="inlineStr">
        <is>
          <t>Consejo de Participación de las Personas LGTBI</t>
        </is>
      </c>
      <c r="C606" s="20" t="inlineStr">
        <is>
          <t>Clasificación: base en el P100</t>
        </is>
      </c>
      <c r="D606" s="20" t="inlineStr">
        <is>
          <t>CC</t>
        </is>
      </c>
      <c r="E606" s="20" t="n"/>
      <c r="F606" s="20" t="inlineStr">
        <is>
          <t>Explícito en el P100: Costes del Estado 2</t>
        </is>
      </c>
    </row>
    <row r="607">
      <c r="A607" s="20" t="n">
        <v>62</v>
      </c>
      <c r="B607" s="20" t="inlineStr">
        <is>
          <t>Consejo de Participación de las Personas LGTBI</t>
        </is>
      </c>
      <c r="C607" s="20" t="inlineStr">
        <is>
          <t>Clasificación: destino de sus funciones</t>
        </is>
      </c>
      <c r="D607" s="20" t="inlineStr">
        <is>
          <t>CD</t>
        </is>
      </c>
      <c r="E607" s="20" t="n"/>
      <c r="F607" s="20" t="inlineStr">
        <is>
          <t>Estructura ordinaria del ministerio, si alguna función resultara imprescindible</t>
        </is>
      </c>
    </row>
    <row r="608">
      <c r="A608" s="20" t="n">
        <v>62</v>
      </c>
      <c r="B608" s="20" t="inlineStr">
        <is>
          <t>Consejo de Participación de las Personas LGTBI</t>
        </is>
      </c>
      <c r="C608" s="20" t="inlineStr">
        <is>
          <t>Tema funcional</t>
        </is>
      </c>
      <c r="D608" s="20" t="inlineStr">
        <is>
          <t>CE</t>
        </is>
      </c>
      <c r="E608" s="20" t="n"/>
      <c r="F608" s="20" t="inlineStr">
        <is>
          <t>Participación: personas LGTBI</t>
        </is>
      </c>
    </row>
    <row r="609">
      <c r="A609" s="20" t="n">
        <v>62</v>
      </c>
      <c r="B609" s="20" t="inlineStr">
        <is>
          <t>Consejo de Participación de las Personas LGTBI</t>
        </is>
      </c>
      <c r="C609" s="20" t="inlineStr">
        <is>
          <t>Coste de apoyo (sin presupuesto propio): unidad, vocales y dietas</t>
        </is>
      </c>
      <c r="D609" s="20" t="inlineStr">
        <is>
          <t>CG</t>
        </is>
      </c>
      <c r="E609" s="20" t="n"/>
      <c r="F609" s="20" t="inlineStr">
        <is>
          <t>Apoyo: Secretaría: titular de la SG de Derechos LGTBI, con suplente funcionario A1 de esa SG (apdo. 3.2 y 5.5); dotaciones ordinarias del Ministerio de Igualdad, sin aumento de gastos de personal (DA única). vocales: 31.</t>
        </is>
      </c>
    </row>
    <row r="610">
      <c r="A610" s="20" t="n">
        <v>63</v>
      </c>
      <c r="B610" s="20" t="inlineStr">
        <is>
          <t>Consejo Estatal de Participación de la Infancia y de la Adolescencia (CEPIA)</t>
        </is>
      </c>
      <c r="C610" s="20" t="inlineStr">
        <is>
          <t>Clasificación: útil / no útil</t>
        </is>
      </c>
      <c r="D610" s="20" t="inlineStr">
        <is>
          <t>BV</t>
        </is>
      </c>
      <c r="E610" s="20" t="n"/>
      <c r="F610" s="20" t="inlineStr">
        <is>
          <t>No útil</t>
        </is>
      </c>
    </row>
    <row r="611">
      <c r="A611" s="20" t="n">
        <v>63</v>
      </c>
      <c r="B611" s="20" t="inlineStr">
        <is>
          <t>Consejo Estatal de Participación de la Infancia y de la Adolescencia (CEPIA)</t>
        </is>
      </c>
      <c r="C611" s="20" t="inlineStr">
        <is>
          <t>Clasificación: veredicto</t>
        </is>
      </c>
      <c r="D611" s="20" t="inlineStr">
        <is>
          <t>BW</t>
        </is>
      </c>
      <c r="E611" s="20" t="n"/>
      <c r="F611" s="20" t="inlineStr">
        <is>
          <t>Suprimir</t>
        </is>
      </c>
    </row>
    <row r="612">
      <c r="A612" s="20" t="n">
        <v>63</v>
      </c>
      <c r="B612" s="20" t="inlineStr">
        <is>
          <t>Consejo Estatal de Participación de la Infancia y de la Adolescencia (CEPIA)</t>
        </is>
      </c>
      <c r="C612" s="20" t="inlineStr">
        <is>
          <t>Clasificación: función</t>
        </is>
      </c>
      <c r="D612" s="20" t="inlineStr">
        <is>
          <t>BX</t>
        </is>
      </c>
      <c r="E612" s="20" t="n"/>
      <c r="F612" s="20" t="inlineStr">
        <is>
          <t>Consultivo o participación</t>
        </is>
      </c>
    </row>
    <row r="613">
      <c r="A613" s="20" t="n">
        <v>63</v>
      </c>
      <c r="B613" s="20" t="inlineStr">
        <is>
          <t>Consejo Estatal de Participación de la Infancia y de la Adolescencia (CEPIA)</t>
        </is>
      </c>
      <c r="C613" s="20" t="inlineStr">
        <is>
          <t>Clasificación: exigida por la UE</t>
        </is>
      </c>
      <c r="D613" s="20" t="inlineStr">
        <is>
          <t>BZ</t>
        </is>
      </c>
      <c r="E613" s="20" t="n"/>
      <c r="F613" s="20" t="inlineStr">
        <is>
          <t>No</t>
        </is>
      </c>
    </row>
    <row r="614">
      <c r="A614" s="20" t="n">
        <v>63</v>
      </c>
      <c r="B614" s="20" t="inlineStr">
        <is>
          <t>Consejo Estatal de Participación de la Infancia y de la Adolescencia (CEPIA)</t>
        </is>
      </c>
      <c r="C614" s="20" t="inlineStr">
        <is>
          <t>Clasificación: actividad reciente</t>
        </is>
      </c>
      <c r="D614" s="20" t="inlineStr">
        <is>
          <t>CA</t>
        </is>
      </c>
      <c r="E614" s="20" t="n"/>
      <c r="F614" s="20" t="inlineStr">
        <is>
          <t>No acreditada</t>
        </is>
      </c>
    </row>
    <row r="615">
      <c r="A615" s="20" t="n">
        <v>63</v>
      </c>
      <c r="B615" s="20" t="inlineStr">
        <is>
          <t>Consejo Estatal de Participación de la Infancia y de la Adolescencia (CEPIA)</t>
        </is>
      </c>
      <c r="C615" s="20" t="inlineStr">
        <is>
          <t>Clasificación: motivo</t>
        </is>
      </c>
      <c r="D615" s="20" t="inlineStr">
        <is>
          <t>CB</t>
        </is>
      </c>
      <c r="E615" s="20" t="n"/>
      <c r="F615" s="20" t="inlineStr">
        <is>
          <t>Observatorio, consejo o comisión: el P100 los cierra salvo que su ministerio demuestre que su trabajo cambia decisiones o mejora un servicio; publicar informes no cuenta.</t>
        </is>
      </c>
    </row>
    <row r="616">
      <c r="A616" s="20" t="n">
        <v>63</v>
      </c>
      <c r="B616" s="20" t="inlineStr">
        <is>
          <t>Consejo Estatal de Participación de la Infancia y de la Adolescencia (CEPIA)</t>
        </is>
      </c>
      <c r="C616" s="20" t="inlineStr">
        <is>
          <t>Clasificación: base en el P100</t>
        </is>
      </c>
      <c r="D616" s="20" t="inlineStr">
        <is>
          <t>CC</t>
        </is>
      </c>
      <c r="E616" s="20" t="n"/>
      <c r="F616" s="20" t="inlineStr">
        <is>
          <t>Explícito en el P100: Costes del Estado 2</t>
        </is>
      </c>
    </row>
    <row r="617">
      <c r="A617" s="20" t="n">
        <v>63</v>
      </c>
      <c r="B617" s="20" t="inlineStr">
        <is>
          <t>Consejo Estatal de Participación de la Infancia y de la Adolescencia (CEPIA)</t>
        </is>
      </c>
      <c r="C617" s="20" t="inlineStr">
        <is>
          <t>Clasificación: destino de sus funciones</t>
        </is>
      </c>
      <c r="D617" s="20" t="inlineStr">
        <is>
          <t>CD</t>
        </is>
      </c>
      <c r="E617" s="20" t="n"/>
      <c r="F617" s="20" t="inlineStr">
        <is>
          <t>Estructura ordinaria del ministerio, si alguna función resultara imprescindible</t>
        </is>
      </c>
    </row>
    <row r="618">
      <c r="A618" s="20" t="n">
        <v>63</v>
      </c>
      <c r="B618" s="20" t="inlineStr">
        <is>
          <t>Consejo Estatal de Participación de la Infancia y de la Adolescencia (CEPIA)</t>
        </is>
      </c>
      <c r="C618" s="20" t="inlineStr">
        <is>
          <t>Tema funcional</t>
        </is>
      </c>
      <c r="D618" s="20" t="inlineStr">
        <is>
          <t>CE</t>
        </is>
      </c>
      <c r="E618" s="20" t="n"/>
      <c r="F618" s="20" t="inlineStr">
        <is>
          <t>Participación: infancia</t>
        </is>
      </c>
    </row>
    <row r="619">
      <c r="A619" s="20" t="n">
        <v>63</v>
      </c>
      <c r="B619" s="20" t="inlineStr">
        <is>
          <t>Consejo Estatal de Participación de la Infancia y de la Adolescencia (CEPIA)</t>
        </is>
      </c>
      <c r="C619" s="20" t="inlineStr">
        <is>
          <t>Coste de apoyo (sin presupuesto propio): unidad, vocales y dietas</t>
        </is>
      </c>
      <c r="D619" s="20" t="inlineStr">
        <is>
          <t>CG</t>
        </is>
      </c>
      <c r="E619" s="20" t="n"/>
      <c r="F619" s="20" t="inlineStr">
        <is>
          <t>Apoyo: Dirección General competente en participación infantil y apoyo al CEPIA (Ministerio de Juventud e Infancia): secretaría a cargo de una persona funcionaria designada por la DG, que puede actuar «a través de la asistencia técnica de profesionales especializados» (apdo. Duodécimo.1.d); la DG atiende los gastos con cargo a su presupuesto (apdo. Decimosexto.3). vocales: 34.</t>
        </is>
      </c>
    </row>
    <row r="620">
      <c r="A620" s="20" t="n">
        <v>64</v>
      </c>
      <c r="B620" s="20" t="inlineStr">
        <is>
          <t>Consejo Nacional de Seguridad Aeroespacial</t>
        </is>
      </c>
      <c r="C620" s="20" t="inlineStr">
        <is>
          <t>Fuentes de la ficha</t>
        </is>
      </c>
      <c r="D620" s="20" t="inlineStr">
        <is>
          <t>Z</t>
        </is>
      </c>
      <c r="E620" s="20" t="inlineStr">
        <is>
          <t>https://boe.es/buscar/doc.php?id=BOE-A-2020-3638</t>
        </is>
      </c>
      <c r="F620" s="20" t="inlineStr">
        <is>
          <t>https://boe.es/buscar/doc.php?id=BOE-A-2020-3638
https://www.boe.es/eli/es/o/2020/03/13/pcm218/con</t>
        </is>
      </c>
    </row>
    <row r="621">
      <c r="A621" s="20" t="n">
        <v>64</v>
      </c>
      <c r="B621" s="20" t="inlineStr">
        <is>
          <t>Consejo Nacional de Seguridad Aeroespacial</t>
        </is>
      </c>
      <c r="C621" s="20" t="inlineStr">
        <is>
          <t>Clasificación: útil / no útil</t>
        </is>
      </c>
      <c r="D621" s="20" t="inlineStr">
        <is>
          <t>BV</t>
        </is>
      </c>
      <c r="E621" s="20" t="n"/>
      <c r="F621" s="20" t="inlineStr">
        <is>
          <t>No útil</t>
        </is>
      </c>
    </row>
    <row r="622">
      <c r="A622" s="20" t="n">
        <v>64</v>
      </c>
      <c r="B622" s="20" t="inlineStr">
        <is>
          <t>Consejo Nacional de Seguridad Aeroespacial</t>
        </is>
      </c>
      <c r="C622" s="20" t="inlineStr">
        <is>
          <t>Clasificación: veredicto</t>
        </is>
      </c>
      <c r="D622" s="20" t="inlineStr">
        <is>
          <t>BW</t>
        </is>
      </c>
      <c r="E622" s="20" t="n"/>
      <c r="F622" s="20" t="inlineStr">
        <is>
          <t>Suprimir</t>
        </is>
      </c>
    </row>
    <row r="623">
      <c r="A623" s="20" t="n">
        <v>64</v>
      </c>
      <c r="B623" s="20" t="inlineStr">
        <is>
          <t>Consejo Nacional de Seguridad Aeroespacial</t>
        </is>
      </c>
      <c r="C623" s="20" t="inlineStr">
        <is>
          <t>Clasificación: función</t>
        </is>
      </c>
      <c r="D623" s="20" t="inlineStr">
        <is>
          <t>BX</t>
        </is>
      </c>
      <c r="E623" s="20" t="n"/>
      <c r="F623" s="20" t="inlineStr">
        <is>
          <t>Consultivo o participación</t>
        </is>
      </c>
    </row>
    <row r="624">
      <c r="A624" s="20" t="n">
        <v>64</v>
      </c>
      <c r="B624" s="20" t="inlineStr">
        <is>
          <t>Consejo Nacional de Seguridad Aeroespacial</t>
        </is>
      </c>
      <c r="C624" s="20" t="inlineStr">
        <is>
          <t>Clasificación: exigida por la UE</t>
        </is>
      </c>
      <c r="D624" s="20" t="inlineStr">
        <is>
          <t>BZ</t>
        </is>
      </c>
      <c r="E624" s="20" t="n"/>
      <c r="F624" s="20" t="inlineStr">
        <is>
          <t>No</t>
        </is>
      </c>
    </row>
    <row r="625">
      <c r="A625" s="20" t="n">
        <v>64</v>
      </c>
      <c r="B625" s="20" t="inlineStr">
        <is>
          <t>Consejo Nacional de Seguridad Aeroespacial</t>
        </is>
      </c>
      <c r="C625" s="20" t="inlineStr">
        <is>
          <t>Clasificación: actividad reciente</t>
        </is>
      </c>
      <c r="D625" s="20" t="inlineStr">
        <is>
          <t>CA</t>
        </is>
      </c>
      <c r="E625" s="20" t="n"/>
      <c r="F625" s="20" t="inlineStr">
        <is>
          <t>No acreditada</t>
        </is>
      </c>
    </row>
    <row r="626">
      <c r="A626" s="20" t="n">
        <v>64</v>
      </c>
      <c r="B626" s="20" t="inlineStr">
        <is>
          <t>Consejo Nacional de Seguridad Aeroespacial</t>
        </is>
      </c>
      <c r="C626" s="20" t="inlineStr">
        <is>
          <t>Clasificación: motivo</t>
        </is>
      </c>
      <c r="D626" s="20" t="inlineStr">
        <is>
          <t>CB</t>
        </is>
      </c>
      <c r="E626" s="20" t="n"/>
      <c r="F626" s="20" t="inlineStr">
        <is>
          <t>Observatorio, consejo o comisión: el P100 los cierra salvo que su ministerio demuestre que su trabajo cambia decisiones o mejora un servicio; publicar informes no cuenta.</t>
        </is>
      </c>
    </row>
    <row r="627">
      <c r="A627" s="20" t="n">
        <v>64</v>
      </c>
      <c r="B627" s="20" t="inlineStr">
        <is>
          <t>Consejo Nacional de Seguridad Aeroespacial</t>
        </is>
      </c>
      <c r="C627" s="20" t="inlineStr">
        <is>
          <t>Clasificación: base en el P100</t>
        </is>
      </c>
      <c r="D627" s="20" t="inlineStr">
        <is>
          <t>CC</t>
        </is>
      </c>
      <c r="E627" s="20" t="n"/>
      <c r="F627" s="20" t="inlineStr">
        <is>
          <t>Explícito en el P100: Costes del Estado 2</t>
        </is>
      </c>
    </row>
    <row r="628">
      <c r="A628" s="20" t="n">
        <v>64</v>
      </c>
      <c r="B628" s="20" t="inlineStr">
        <is>
          <t>Consejo Nacional de Seguridad Aeroespacial</t>
        </is>
      </c>
      <c r="C628" s="20" t="inlineStr">
        <is>
          <t>Clasificación: destino de sus funciones</t>
        </is>
      </c>
      <c r="D628" s="20" t="inlineStr">
        <is>
          <t>CD</t>
        </is>
      </c>
      <c r="E628" s="20" t="n"/>
      <c r="F628" s="20" t="inlineStr">
        <is>
          <t>Estructura ordinaria del ministerio, si alguna función resultara imprescindible</t>
        </is>
      </c>
    </row>
    <row r="629">
      <c r="A629" s="20" t="n">
        <v>64</v>
      </c>
      <c r="B629" s="20" t="inlineStr">
        <is>
          <t>Consejo Nacional de Seguridad Aeroespacial</t>
        </is>
      </c>
      <c r="C629" s="20" t="inlineStr">
        <is>
          <t>Tema funcional</t>
        </is>
      </c>
      <c r="D629" s="20" t="inlineStr">
        <is>
          <t>CE</t>
        </is>
      </c>
      <c r="E629" s="20" t="n"/>
      <c r="F629" s="20" t="inlineStr">
        <is>
          <t>Seguridad aeroespacial</t>
        </is>
      </c>
    </row>
    <row r="630">
      <c r="A630" s="20" t="n">
        <v>64</v>
      </c>
      <c r="B630" s="20" t="inlineStr">
        <is>
          <t>Consejo Nacional de Seguridad Aeroespacial</t>
        </is>
      </c>
      <c r="C630" s="20" t="inlineStr">
        <is>
          <t>Coste de apoyo (sin presupuesto propio): unidad, vocales y dietas</t>
        </is>
      </c>
      <c r="D630" s="20" t="inlineStr">
        <is>
          <t>CG</t>
        </is>
      </c>
      <c r="E630" s="20" t="n"/>
      <c r="F630" s="20" t="inlineStr">
        <is>
          <t>Apoyo: Departamento de Seguridad Nacional: Secretaría Técnica y órgano de trabajo permanente, con secretario designado entre su personal (apdo. Quinto.d Orden PCM/218/2020); la presidencia (JEMAD) puede recabar apoyos de su estructura.</t>
        </is>
      </c>
    </row>
    <row r="631">
      <c r="A631" s="20" t="n">
        <v>65</v>
      </c>
      <c r="B631" s="20" t="inlineStr">
        <is>
          <t>Centro Nacional de Fotografía</t>
        </is>
      </c>
      <c r="C631" s="20" t="inlineStr">
        <is>
          <t>Clasificación: útil / no útil</t>
        </is>
      </c>
      <c r="D631" s="20" t="inlineStr">
        <is>
          <t>BV</t>
        </is>
      </c>
      <c r="E631" s="20" t="n"/>
      <c r="F631" s="20" t="inlineStr">
        <is>
          <t>Sin decisión en el P100</t>
        </is>
      </c>
    </row>
    <row r="632">
      <c r="A632" s="20" t="n">
        <v>65</v>
      </c>
      <c r="B632" s="20" t="inlineStr">
        <is>
          <t>Centro Nacional de Fotografía</t>
        </is>
      </c>
      <c r="C632" s="20" t="inlineStr">
        <is>
          <t>Clasificación: veredicto</t>
        </is>
      </c>
      <c r="D632" s="20" t="inlineStr">
        <is>
          <t>BW</t>
        </is>
      </c>
      <c r="E632" s="20" t="n"/>
      <c r="F632" s="20" t="inlineStr">
        <is>
          <t>Pendiente de decisión</t>
        </is>
      </c>
    </row>
    <row r="633">
      <c r="A633" s="20" t="n">
        <v>65</v>
      </c>
      <c r="B633" s="20" t="inlineStr">
        <is>
          <t>Centro Nacional de Fotografía</t>
        </is>
      </c>
      <c r="C633" s="20" t="inlineStr">
        <is>
          <t>Clasificación: función</t>
        </is>
      </c>
      <c r="D633" s="20" t="inlineStr">
        <is>
          <t>BX</t>
        </is>
      </c>
      <c r="E633" s="20" t="n"/>
      <c r="F633" s="20" t="inlineStr">
        <is>
          <t>Servicio público directo</t>
        </is>
      </c>
    </row>
    <row r="634">
      <c r="A634" s="20" t="n">
        <v>65</v>
      </c>
      <c r="B634" s="20" t="inlineStr">
        <is>
          <t>Centro Nacional de Fotografía</t>
        </is>
      </c>
      <c r="C634" s="20" t="inlineStr">
        <is>
          <t>Clasificación: exigida por la UE</t>
        </is>
      </c>
      <c r="D634" s="20" t="inlineStr">
        <is>
          <t>BZ</t>
        </is>
      </c>
      <c r="E634" s="20" t="n"/>
      <c r="F634" s="20" t="inlineStr">
        <is>
          <t>No</t>
        </is>
      </c>
    </row>
    <row r="635">
      <c r="A635" s="20" t="n">
        <v>65</v>
      </c>
      <c r="B635" s="20" t="inlineStr">
        <is>
          <t>Centro Nacional de Fotografía</t>
        </is>
      </c>
      <c r="C635" s="20" t="inlineStr">
        <is>
          <t>Clasificación: actividad reciente</t>
        </is>
      </c>
      <c r="D635" s="20" t="inlineStr">
        <is>
          <t>CA</t>
        </is>
      </c>
      <c r="E635" s="20" t="n"/>
      <c r="F635" s="20" t="inlineStr">
        <is>
          <t>Acreditada</t>
        </is>
      </c>
    </row>
    <row r="636">
      <c r="A636" s="20" t="n">
        <v>65</v>
      </c>
      <c r="B636" s="20" t="inlineStr">
        <is>
          <t>Centro Nacional de Fotografía</t>
        </is>
      </c>
      <c r="C636" s="20" t="inlineStr">
        <is>
          <t>Clasificación: motivo</t>
        </is>
      </c>
      <c r="D636" s="20" t="inlineStr">
        <is>
          <t>CB</t>
        </is>
      </c>
      <c r="E636" s="20" t="n"/>
      <c r="F636" s="20" t="inlineStr">
        <is>
          <t>Museo estatal sin presupuesto propio, creado en 2023.</t>
        </is>
      </c>
    </row>
    <row r="637">
      <c r="A637" s="20" t="n">
        <v>65</v>
      </c>
      <c r="B637" s="20" t="inlineStr">
        <is>
          <t>Centro Nacional de Fotografía</t>
        </is>
      </c>
      <c r="C637" s="20" t="inlineStr">
        <is>
          <t>Clasificación: base en el P100</t>
        </is>
      </c>
      <c r="D637" s="20" t="inlineStr">
        <is>
          <t>CC</t>
        </is>
      </c>
      <c r="E637" s="20" t="n"/>
      <c r="F637" s="20" t="inlineStr">
        <is>
          <t>El P100 no trata cultura</t>
        </is>
      </c>
    </row>
    <row r="638">
      <c r="A638" s="20" t="n">
        <v>65</v>
      </c>
      <c r="B638" s="20" t="inlineStr">
        <is>
          <t>Centro Nacional de Fotografía</t>
        </is>
      </c>
      <c r="C638" s="20" t="inlineStr">
        <is>
          <t>Tema funcional</t>
        </is>
      </c>
      <c r="D638" s="20" t="inlineStr">
        <is>
          <t>CE</t>
        </is>
      </c>
      <c r="E638" s="20" t="n"/>
      <c r="F638" s="20" t="inlineStr">
        <is>
          <t>Patrimonio fotográfico</t>
        </is>
      </c>
    </row>
    <row r="639">
      <c r="A639" s="20" t="n">
        <v>66</v>
      </c>
      <c r="B639" s="20" t="inlineStr">
        <is>
          <t>Sociedad Española para la Transformación Tecnológica (SETT), antes SEMYS</t>
        </is>
      </c>
      <c r="C639" s="20" t="inlineStr">
        <is>
          <t>Clasificación: útil / no útil</t>
        </is>
      </c>
      <c r="D639" s="20" t="inlineStr">
        <is>
          <t>BV</t>
        </is>
      </c>
      <c r="E639" s="20" t="n"/>
      <c r="F639" s="20" t="inlineStr">
        <is>
          <t>Útil</t>
        </is>
      </c>
    </row>
    <row r="640">
      <c r="A640" s="20" t="n">
        <v>66</v>
      </c>
      <c r="B640" s="20" t="inlineStr">
        <is>
          <t>Sociedad Española para la Transformación Tecnológica (SETT), antes SEMYS</t>
        </is>
      </c>
      <c r="C640" s="20" t="inlineStr">
        <is>
          <t>Clasificación: veredicto</t>
        </is>
      </c>
      <c r="D640" s="20" t="inlineStr">
        <is>
          <t>BW</t>
        </is>
      </c>
      <c r="E640" s="20" t="n"/>
      <c r="F640" s="20" t="inlineStr">
        <is>
          <t>Reformar</t>
        </is>
      </c>
    </row>
    <row r="641">
      <c r="A641" s="20" t="n">
        <v>66</v>
      </c>
      <c r="B641" s="20" t="inlineStr">
        <is>
          <t>Sociedad Española para la Transformación Tecnológica (SETT), antes SEMYS</t>
        </is>
      </c>
      <c r="C641" s="20" t="inlineStr">
        <is>
          <t>Clasificación: función</t>
        </is>
      </c>
      <c r="D641" s="20" t="inlineStr">
        <is>
          <t>BX</t>
        </is>
      </c>
      <c r="E641" s="20" t="n"/>
      <c r="F641" s="20" t="inlineStr">
        <is>
          <t>Financiación y ayudas</t>
        </is>
      </c>
    </row>
    <row r="642">
      <c r="A642" s="20" t="n">
        <v>66</v>
      </c>
      <c r="B642" s="20" t="inlineStr">
        <is>
          <t>Sociedad Española para la Transformación Tecnológica (SETT), antes SEMYS</t>
        </is>
      </c>
      <c r="C642" s="20" t="inlineStr">
        <is>
          <t>Clasificación: exigida por la UE</t>
        </is>
      </c>
      <c r="D642" s="20" t="inlineStr">
        <is>
          <t>BZ</t>
        </is>
      </c>
      <c r="E642" s="20" t="n"/>
      <c r="F642" s="20" t="inlineStr">
        <is>
          <t>No</t>
        </is>
      </c>
    </row>
    <row r="643">
      <c r="A643" s="20" t="n">
        <v>66</v>
      </c>
      <c r="B643" s="20" t="inlineStr">
        <is>
          <t>Sociedad Española para la Transformación Tecnológica (SETT), antes SEMYS</t>
        </is>
      </c>
      <c r="C643" s="20" t="inlineStr">
        <is>
          <t>Clasificación: actividad reciente</t>
        </is>
      </c>
      <c r="D643" s="20" t="inlineStr">
        <is>
          <t>CA</t>
        </is>
      </c>
      <c r="E643" s="20" t="n"/>
      <c r="F643" s="20" t="inlineStr">
        <is>
          <t>Parcial</t>
        </is>
      </c>
    </row>
    <row r="644">
      <c r="A644" s="20" t="n">
        <v>66</v>
      </c>
      <c r="B644" s="20" t="inlineStr">
        <is>
          <t>Sociedad Española para la Transformación Tecnológica (SETT), antes SEMYS</t>
        </is>
      </c>
      <c r="C644" s="20" t="inlineStr">
        <is>
          <t>Clasificación: motivo</t>
        </is>
      </c>
      <c r="D644" s="20" t="inlineStr">
        <is>
          <t>CB</t>
        </is>
      </c>
      <c r="E644" s="20" t="n"/>
      <c r="F644" s="20" t="inlineStr">
        <is>
          <t>Invierte los fondos del PERTE Chip y Next Tech; el P100 audita el PERTE Chip antes de comprometer un euro más y fija condiciones a quien recibe capital público.</t>
        </is>
      </c>
    </row>
    <row r="645">
      <c r="A645" s="20" t="n">
        <v>66</v>
      </c>
      <c r="B645" s="20" t="inlineStr">
        <is>
          <t>Sociedad Española para la Transformación Tecnológica (SETT), antes SEMYS</t>
        </is>
      </c>
      <c r="C645" s="20" t="inlineStr">
        <is>
          <t>Clasificación: base en el P100</t>
        </is>
      </c>
      <c r="D645" s="20" t="inlineStr">
        <is>
          <t>CC</t>
        </is>
      </c>
      <c r="E645" s="20" t="n"/>
      <c r="F645" s="20" t="inlineStr">
        <is>
          <t>Explícito en el P100: Crecer y producir 5</t>
        </is>
      </c>
    </row>
    <row r="646">
      <c r="A646" s="20" t="n">
        <v>66</v>
      </c>
      <c r="B646" s="20" t="inlineStr">
        <is>
          <t>Sociedad Española para la Transformación Tecnológica (SETT), antes SEMYS</t>
        </is>
      </c>
      <c r="C646" s="20" t="inlineStr">
        <is>
          <t>Tema funcional</t>
        </is>
      </c>
      <c r="D646" s="20" t="inlineStr">
        <is>
          <t>CE</t>
        </is>
      </c>
      <c r="E646" s="20" t="n"/>
      <c r="F646" s="20" t="inlineStr">
        <is>
          <t>Fondos tecnológicos (PERTE)</t>
        </is>
      </c>
    </row>
    <row r="647">
      <c r="A647" s="20" t="n">
        <v>67</v>
      </c>
      <c r="B647" s="20" t="inlineStr">
        <is>
          <t>Oficina Técnica de Desertificación</t>
        </is>
      </c>
      <c r="C647" s="20" t="inlineStr">
        <is>
          <t>Fuentes de la ficha</t>
        </is>
      </c>
      <c r="D647" s="20" t="inlineStr">
        <is>
          <t>Z</t>
        </is>
      </c>
      <c r="E647" s="20" t="inlineStr">
        <is>
          <t>https://boe.es/buscar/doc.php?id=BOE-A-2025-16493</t>
        </is>
      </c>
      <c r="F647" s="20" t="inlineStr">
        <is>
          <t>https://boe.es/buscar/doc.php?id=BOE-A-2025-16493
https://www.boe.es/eli/es/o/2025/08/01/ted873</t>
        </is>
      </c>
    </row>
    <row r="648">
      <c r="A648" s="20" t="n">
        <v>67</v>
      </c>
      <c r="B648" s="20" t="inlineStr">
        <is>
          <t>Oficina Técnica de Desertificación</t>
        </is>
      </c>
      <c r="C648" s="20" t="inlineStr">
        <is>
          <t>Clasificación: útil / no útil</t>
        </is>
      </c>
      <c r="D648" s="20" t="inlineStr">
        <is>
          <t>BV</t>
        </is>
      </c>
      <c r="E648" s="20" t="n"/>
      <c r="F648" s="20" t="inlineStr">
        <is>
          <t>No útil</t>
        </is>
      </c>
    </row>
    <row r="649">
      <c r="A649" s="20" t="n">
        <v>67</v>
      </c>
      <c r="B649" s="20" t="inlineStr">
        <is>
          <t>Oficina Técnica de Desertificación</t>
        </is>
      </c>
      <c r="C649" s="20" t="inlineStr">
        <is>
          <t>Clasificación: veredicto</t>
        </is>
      </c>
      <c r="D649" s="20" t="inlineStr">
        <is>
          <t>BW</t>
        </is>
      </c>
      <c r="E649" s="20" t="n"/>
      <c r="F649" s="20" t="inlineStr">
        <is>
          <t>Suprimir</t>
        </is>
      </c>
    </row>
    <row r="650">
      <c r="A650" s="20" t="n">
        <v>67</v>
      </c>
      <c r="B650" s="20" t="inlineStr">
        <is>
          <t>Oficina Técnica de Desertificación</t>
        </is>
      </c>
      <c r="C650" s="20" t="inlineStr">
        <is>
          <t>Clasificación: función</t>
        </is>
      </c>
      <c r="D650" s="20" t="inlineStr">
        <is>
          <t>BX</t>
        </is>
      </c>
      <c r="E650" s="20" t="n"/>
      <c r="F650" s="20" t="inlineStr">
        <is>
          <t>Consultivo o participación</t>
        </is>
      </c>
    </row>
    <row r="651">
      <c r="A651" s="20" t="n">
        <v>67</v>
      </c>
      <c r="B651" s="20" t="inlineStr">
        <is>
          <t>Oficina Técnica de Desertificación</t>
        </is>
      </c>
      <c r="C651" s="20" t="inlineStr">
        <is>
          <t>Clasificación: exigida por la UE</t>
        </is>
      </c>
      <c r="D651" s="20" t="inlineStr">
        <is>
          <t>BZ</t>
        </is>
      </c>
      <c r="E651" s="20" t="n"/>
      <c r="F651" s="20" t="inlineStr">
        <is>
          <t>No</t>
        </is>
      </c>
    </row>
    <row r="652">
      <c r="A652" s="20" t="n">
        <v>67</v>
      </c>
      <c r="B652" s="20" t="inlineStr">
        <is>
          <t>Oficina Técnica de Desertificación</t>
        </is>
      </c>
      <c r="C652" s="20" t="inlineStr">
        <is>
          <t>Clasificación: actividad reciente</t>
        </is>
      </c>
      <c r="D652" s="20" t="inlineStr">
        <is>
          <t>CA</t>
        </is>
      </c>
      <c r="E652" s="20" t="n"/>
      <c r="F652" s="20" t="inlineStr">
        <is>
          <t>No acreditada</t>
        </is>
      </c>
    </row>
    <row r="653">
      <c r="A653" s="20" t="n">
        <v>67</v>
      </c>
      <c r="B653" s="20" t="inlineStr">
        <is>
          <t>Oficina Técnica de Desertificación</t>
        </is>
      </c>
      <c r="C653" s="20" t="inlineStr">
        <is>
          <t>Clasificación: motivo</t>
        </is>
      </c>
      <c r="D653" s="20" t="inlineStr">
        <is>
          <t>CB</t>
        </is>
      </c>
      <c r="E653" s="20" t="n"/>
      <c r="F653" s="20" t="inlineStr">
        <is>
          <t>Observatorio, consejo o comisión: el P100 los cierra salvo que su ministerio demuestre que su trabajo cambia decisiones o mejora un servicio; publicar informes no cuenta.</t>
        </is>
      </c>
    </row>
    <row r="654">
      <c r="A654" s="20" t="n">
        <v>67</v>
      </c>
      <c r="B654" s="20" t="inlineStr">
        <is>
          <t>Oficina Técnica de Desertificación</t>
        </is>
      </c>
      <c r="C654" s="20" t="inlineStr">
        <is>
          <t>Clasificación: base en el P100</t>
        </is>
      </c>
      <c r="D654" s="20" t="inlineStr">
        <is>
          <t>CC</t>
        </is>
      </c>
      <c r="E654" s="20" t="n"/>
      <c r="F654" s="20" t="inlineStr">
        <is>
          <t>Explícito en el P100: Costes del Estado 2</t>
        </is>
      </c>
    </row>
    <row r="655">
      <c r="A655" s="20" t="n">
        <v>67</v>
      </c>
      <c r="B655" s="20" t="inlineStr">
        <is>
          <t>Oficina Técnica de Desertificación</t>
        </is>
      </c>
      <c r="C655" s="20" t="inlineStr">
        <is>
          <t>Clasificación: destino de sus funciones</t>
        </is>
      </c>
      <c r="D655" s="20" t="inlineStr">
        <is>
          <t>CD</t>
        </is>
      </c>
      <c r="E655" s="20" t="n"/>
      <c r="F655" s="20" t="inlineStr">
        <is>
          <t>Estructura ordinaria del ministerio, si alguna función resultara imprescindible</t>
        </is>
      </c>
    </row>
    <row r="656">
      <c r="A656" s="20" t="n">
        <v>67</v>
      </c>
      <c r="B656" s="20" t="inlineStr">
        <is>
          <t>Oficina Técnica de Desertificación</t>
        </is>
      </c>
      <c r="C656" s="20" t="inlineStr">
        <is>
          <t>Tema funcional</t>
        </is>
      </c>
      <c r="D656" s="20" t="inlineStr">
        <is>
          <t>CE</t>
        </is>
      </c>
      <c r="E656" s="20" t="n"/>
      <c r="F656" s="20" t="inlineStr">
        <is>
          <t>Desertificación</t>
        </is>
      </c>
    </row>
    <row r="657">
      <c r="A657" s="20" t="n">
        <v>67</v>
      </c>
      <c r="B657" s="20" t="inlineStr">
        <is>
          <t>Oficina Técnica de Desertificación</t>
        </is>
      </c>
      <c r="C657" s="20" t="inlineStr">
        <is>
          <t>Coste de apoyo (sin presupuesto propio): unidad, vocales y dietas</t>
        </is>
      </c>
      <c r="D657" s="20" t="inlineStr">
        <is>
          <t>CG</t>
        </is>
      </c>
      <c r="E657" s="20" t="n"/>
      <c r="F657" s="20" t="inlineStr">
        <is>
          <t>Apoyo: Es un órgano administrativo de la SG de Política Forestal y Lucha contra la Desertificación (DG de Biodiversidad, Bosques y Desertificación, MITERD), con el rango que fije la RPT (artículo único.1-2 Orden TED/873/2025).</t>
        </is>
      </c>
    </row>
    <row r="658">
      <c r="A658" s="20" t="n">
        <v>68</v>
      </c>
      <c r="B658" s="20" t="inlineStr">
        <is>
          <t>Comisión Interministerial del Trío de Eclipses 2026-2027-2028</t>
        </is>
      </c>
      <c r="C658" s="20" t="inlineStr">
        <is>
          <t>Clasificación: útil / no útil</t>
        </is>
      </c>
      <c r="D658" s="20" t="inlineStr">
        <is>
          <t>BV</t>
        </is>
      </c>
      <c r="E658" s="20" t="n"/>
      <c r="F658" s="20" t="inlineStr">
        <is>
          <t>No útil</t>
        </is>
      </c>
    </row>
    <row r="659">
      <c r="A659" s="20" t="n">
        <v>68</v>
      </c>
      <c r="B659" s="20" t="inlineStr">
        <is>
          <t>Comisión Interministerial del Trío de Eclipses 2026-2027-2028</t>
        </is>
      </c>
      <c r="C659" s="20" t="inlineStr">
        <is>
          <t>Clasificación: veredicto</t>
        </is>
      </c>
      <c r="D659" s="20" t="inlineStr">
        <is>
          <t>BW</t>
        </is>
      </c>
      <c r="E659" s="20" t="n"/>
      <c r="F659" s="20" t="inlineStr">
        <is>
          <t>Suprimir</t>
        </is>
      </c>
    </row>
    <row r="660">
      <c r="A660" s="20" t="n">
        <v>68</v>
      </c>
      <c r="B660" s="20" t="inlineStr">
        <is>
          <t>Comisión Interministerial del Trío de Eclipses 2026-2027-2028</t>
        </is>
      </c>
      <c r="C660" s="20" t="inlineStr">
        <is>
          <t>Clasificación: función</t>
        </is>
      </c>
      <c r="D660" s="20" t="inlineStr">
        <is>
          <t>BX</t>
        </is>
      </c>
      <c r="E660" s="20" t="n"/>
      <c r="F660" s="20" t="inlineStr">
        <is>
          <t>Consultivo o participación</t>
        </is>
      </c>
    </row>
    <row r="661">
      <c r="A661" s="20" t="n">
        <v>68</v>
      </c>
      <c r="B661" s="20" t="inlineStr">
        <is>
          <t>Comisión Interministerial del Trío de Eclipses 2026-2027-2028</t>
        </is>
      </c>
      <c r="C661" s="20" t="inlineStr">
        <is>
          <t>Clasificación: exigida por la UE</t>
        </is>
      </c>
      <c r="D661" s="20" t="inlineStr">
        <is>
          <t>BZ</t>
        </is>
      </c>
      <c r="E661" s="20" t="n"/>
      <c r="F661" s="20" t="inlineStr">
        <is>
          <t>No</t>
        </is>
      </c>
    </row>
    <row r="662">
      <c r="A662" s="20" t="n">
        <v>68</v>
      </c>
      <c r="B662" s="20" t="inlineStr">
        <is>
          <t>Comisión Interministerial del Trío de Eclipses 2026-2027-2028</t>
        </is>
      </c>
      <c r="C662" s="20" t="inlineStr">
        <is>
          <t>Clasificación: actividad reciente</t>
        </is>
      </c>
      <c r="D662" s="20" t="inlineStr">
        <is>
          <t>CA</t>
        </is>
      </c>
      <c r="E662" s="20" t="n"/>
      <c r="F662" s="20" t="inlineStr">
        <is>
          <t>Acreditada</t>
        </is>
      </c>
    </row>
    <row r="663">
      <c r="A663" s="20" t="n">
        <v>68</v>
      </c>
      <c r="B663" s="20" t="inlineStr">
        <is>
          <t>Comisión Interministerial del Trío de Eclipses 2026-2027-2028</t>
        </is>
      </c>
      <c r="C663" s="20" t="inlineStr">
        <is>
          <t>Clasificación: motivo</t>
        </is>
      </c>
      <c r="D663" s="20" t="inlineStr">
        <is>
          <t>CB</t>
        </is>
      </c>
      <c r="E663" s="20" t="n"/>
      <c r="F663" s="20" t="inlineStr">
        <is>
          <t>Observatorio, consejo o comisión: el P100 los cierra salvo que su ministerio demuestre que su trabajo cambia decisiones o mejora un servicio; publicar informes no cuenta.</t>
        </is>
      </c>
    </row>
    <row r="664">
      <c r="A664" s="20" t="n">
        <v>68</v>
      </c>
      <c r="B664" s="20" t="inlineStr">
        <is>
          <t>Comisión Interministerial del Trío de Eclipses 2026-2027-2028</t>
        </is>
      </c>
      <c r="C664" s="20" t="inlineStr">
        <is>
          <t>Clasificación: base en el P100</t>
        </is>
      </c>
      <c r="D664" s="20" t="inlineStr">
        <is>
          <t>CC</t>
        </is>
      </c>
      <c r="E664" s="20" t="n"/>
      <c r="F664" s="20" t="inlineStr">
        <is>
          <t>Explícito en el P100: Costes del Estado 2</t>
        </is>
      </c>
    </row>
    <row r="665">
      <c r="A665" s="20" t="n">
        <v>68</v>
      </c>
      <c r="B665" s="20" t="inlineStr">
        <is>
          <t>Comisión Interministerial del Trío de Eclipses 2026-2027-2028</t>
        </is>
      </c>
      <c r="C665" s="20" t="inlineStr">
        <is>
          <t>Clasificación: destino de sus funciones</t>
        </is>
      </c>
      <c r="D665" s="20" t="inlineStr">
        <is>
          <t>CD</t>
        </is>
      </c>
      <c r="E665" s="20" t="n"/>
      <c r="F665" s="20" t="inlineStr">
        <is>
          <t>Estructura ordinaria del ministerio, si alguna función resultara imprescindible</t>
        </is>
      </c>
    </row>
    <row r="666">
      <c r="A666" s="20" t="n">
        <v>68</v>
      </c>
      <c r="B666" s="20" t="inlineStr">
        <is>
          <t>Comisión Interministerial del Trío de Eclipses 2026-2027-2028</t>
        </is>
      </c>
      <c r="C666" s="20" t="inlineStr">
        <is>
          <t>Tema funcional</t>
        </is>
      </c>
      <c r="D666" s="20" t="inlineStr">
        <is>
          <t>CE</t>
        </is>
      </c>
      <c r="E666" s="20" t="n"/>
      <c r="F666" s="20" t="inlineStr">
        <is>
          <t>Eclipses 2026-2028</t>
        </is>
      </c>
    </row>
    <row r="667">
      <c r="A667" s="20" t="n">
        <v>68</v>
      </c>
      <c r="B667" s="20" t="inlineStr">
        <is>
          <t>Comisión Interministerial del Trío de Eclipses 2026-2027-2028</t>
        </is>
      </c>
      <c r="C667" s="20" t="inlineStr">
        <is>
          <t>Coste de apoyo (sin presupuesto propio): unidad, vocales y dietas</t>
        </is>
      </c>
      <c r="D667" s="20" t="inlineStr">
        <is>
          <t>CG</t>
        </is>
      </c>
      <c r="E667" s="20" t="n"/>
      <c r="F667" s="20" t="inlineStr">
        <is>
          <t>Apoyo: Secretaría: titular de la Presidencia de la Comisión Nacional de Astronomía (art. 4.6 RD 686/2025); coordinación desde la SE de Ciencia, Innovación y Universidades; medios de los departamentos que la integran (DA 2.ª). vocales: 13.</t>
        </is>
      </c>
    </row>
    <row r="668">
      <c r="A668" s="20" t="n">
        <v>69</v>
      </c>
      <c r="B668" s="20" t="inlineStr">
        <is>
          <t>Plataforma Nacional para la Reducción del Riesgo de Desastres</t>
        </is>
      </c>
      <c r="C668" s="20" t="inlineStr">
        <is>
          <t>Fuentes de la ficha</t>
        </is>
      </c>
      <c r="D668" s="20" t="inlineStr">
        <is>
          <t>Z</t>
        </is>
      </c>
      <c r="E668" s="20" t="inlineStr">
        <is>
          <t>https://www.boe.es/buscar/act.php?id=BOE-A-2026-9157</t>
        </is>
      </c>
      <c r="F668" s="20" t="inlineStr">
        <is>
          <t>https://www.boe.es/buscar/act.php?id=BOE-A-2026-9157
https://www.boe.es/boe/dias/2026/04/27/pdfs/BOE-A-2026-9157.pdf</t>
        </is>
      </c>
    </row>
    <row r="669">
      <c r="A669" s="20" t="n">
        <v>69</v>
      </c>
      <c r="B669" s="20" t="inlineStr">
        <is>
          <t>Plataforma Nacional para la Reducción del Riesgo de Desastres</t>
        </is>
      </c>
      <c r="C669" s="20" t="inlineStr">
        <is>
          <t>Clasificación: útil / no útil</t>
        </is>
      </c>
      <c r="D669" s="20" t="inlineStr">
        <is>
          <t>BV</t>
        </is>
      </c>
      <c r="E669" s="20" t="n"/>
      <c r="F669" s="20" t="inlineStr">
        <is>
          <t>No útil</t>
        </is>
      </c>
    </row>
    <row r="670">
      <c r="A670" s="20" t="n">
        <v>69</v>
      </c>
      <c r="B670" s="20" t="inlineStr">
        <is>
          <t>Plataforma Nacional para la Reducción del Riesgo de Desastres</t>
        </is>
      </c>
      <c r="C670" s="20" t="inlineStr">
        <is>
          <t>Clasificación: veredicto</t>
        </is>
      </c>
      <c r="D670" s="20" t="inlineStr">
        <is>
          <t>BW</t>
        </is>
      </c>
      <c r="E670" s="20" t="n"/>
      <c r="F670" s="20" t="inlineStr">
        <is>
          <t>Suprimir</t>
        </is>
      </c>
    </row>
    <row r="671">
      <c r="A671" s="20" t="n">
        <v>69</v>
      </c>
      <c r="B671" s="20" t="inlineStr">
        <is>
          <t>Plataforma Nacional para la Reducción del Riesgo de Desastres</t>
        </is>
      </c>
      <c r="C671" s="20" t="inlineStr">
        <is>
          <t>Clasificación: función</t>
        </is>
      </c>
      <c r="D671" s="20" t="inlineStr">
        <is>
          <t>BX</t>
        </is>
      </c>
      <c r="E671" s="20" t="n"/>
      <c r="F671" s="20" t="inlineStr">
        <is>
          <t>Consultivo o participación</t>
        </is>
      </c>
    </row>
    <row r="672">
      <c r="A672" s="20" t="n">
        <v>69</v>
      </c>
      <c r="B672" s="20" t="inlineStr">
        <is>
          <t>Plataforma Nacional para la Reducción del Riesgo de Desastres</t>
        </is>
      </c>
      <c r="C672" s="20" t="inlineStr">
        <is>
          <t>Clasificación: exigida por la UE</t>
        </is>
      </c>
      <c r="D672" s="20" t="inlineStr">
        <is>
          <t>BZ</t>
        </is>
      </c>
      <c r="E672" s="20" t="n"/>
      <c r="F672" s="20" t="inlineStr">
        <is>
          <t>No</t>
        </is>
      </c>
    </row>
    <row r="673">
      <c r="A673" s="20" t="n">
        <v>69</v>
      </c>
      <c r="B673" s="20" t="inlineStr">
        <is>
          <t>Plataforma Nacional para la Reducción del Riesgo de Desastres</t>
        </is>
      </c>
      <c r="C673" s="20" t="inlineStr">
        <is>
          <t>Clasificación: actividad reciente</t>
        </is>
      </c>
      <c r="D673" s="20" t="inlineStr">
        <is>
          <t>CA</t>
        </is>
      </c>
      <c r="E673" s="20" t="n"/>
      <c r="F673" s="20" t="inlineStr">
        <is>
          <t>No acreditada</t>
        </is>
      </c>
    </row>
    <row r="674">
      <c r="A674" s="20" t="n">
        <v>69</v>
      </c>
      <c r="B674" s="20" t="inlineStr">
        <is>
          <t>Plataforma Nacional para la Reducción del Riesgo de Desastres</t>
        </is>
      </c>
      <c r="C674" s="20" t="inlineStr">
        <is>
          <t>Clasificación: motivo</t>
        </is>
      </c>
      <c r="D674" s="20" t="inlineStr">
        <is>
          <t>CB</t>
        </is>
      </c>
      <c r="E674" s="20" t="n"/>
      <c r="F674" s="20" t="inlineStr">
        <is>
          <t>Observatorio, consejo o comisión: el P100 los cierra salvo que su ministerio demuestre que su trabajo cambia decisiones o mejora un servicio; publicar informes no cuenta.</t>
        </is>
      </c>
    </row>
    <row r="675">
      <c r="A675" s="20" t="n">
        <v>69</v>
      </c>
      <c r="B675" s="20" t="inlineStr">
        <is>
          <t>Plataforma Nacional para la Reducción del Riesgo de Desastres</t>
        </is>
      </c>
      <c r="C675" s="20" t="inlineStr">
        <is>
          <t>Clasificación: base en el P100</t>
        </is>
      </c>
      <c r="D675" s="20" t="inlineStr">
        <is>
          <t>CC</t>
        </is>
      </c>
      <c r="E675" s="20" t="n"/>
      <c r="F675" s="20" t="inlineStr">
        <is>
          <t>Explícito en el P100: Costes del Estado 2</t>
        </is>
      </c>
    </row>
    <row r="676">
      <c r="A676" s="20" t="n">
        <v>69</v>
      </c>
      <c r="B676" s="20" t="inlineStr">
        <is>
          <t>Plataforma Nacional para la Reducción del Riesgo de Desastres</t>
        </is>
      </c>
      <c r="C676" s="20" t="inlineStr">
        <is>
          <t>Clasificación: destino de sus funciones</t>
        </is>
      </c>
      <c r="D676" s="20" t="inlineStr">
        <is>
          <t>CD</t>
        </is>
      </c>
      <c r="E676" s="20" t="n"/>
      <c r="F676" s="20" t="inlineStr">
        <is>
          <t>Estructura ordinaria del ministerio, si alguna función resultara imprescindible</t>
        </is>
      </c>
    </row>
    <row r="677">
      <c r="A677" s="20" t="n">
        <v>69</v>
      </c>
      <c r="B677" s="20" t="inlineStr">
        <is>
          <t>Plataforma Nacional para la Reducción del Riesgo de Desastres</t>
        </is>
      </c>
      <c r="C677" s="20" t="inlineStr">
        <is>
          <t>Tema funcional</t>
        </is>
      </c>
      <c r="D677" s="20" t="inlineStr">
        <is>
          <t>CE</t>
        </is>
      </c>
      <c r="E677" s="20" t="n"/>
      <c r="F677" s="20" t="inlineStr">
        <is>
          <t>Riesgo de desastres</t>
        </is>
      </c>
    </row>
    <row r="678">
      <c r="A678" s="20" t="n">
        <v>69</v>
      </c>
      <c r="B678" s="20" t="inlineStr">
        <is>
          <t>Plataforma Nacional para la Reducción del Riesgo de Desastres</t>
        </is>
      </c>
      <c r="C678" s="20" t="inlineStr">
        <is>
          <t>Coste de apoyo (sin presupuesto propio): unidad, vocales y dietas</t>
        </is>
      </c>
      <c r="D678" s="20" t="inlineStr">
        <is>
          <t>CG</t>
        </is>
      </c>
      <c r="E678" s="20" t="n"/>
      <c r="F678" s="20" t="inlineStr">
        <is>
          <t>Apoyo: DG de Protección Civil y Emergencias: la presidencia y los medios materiales y personales (apdo. Séptimo); secretaría a cargo del titular de la SG de Formación y Relaciones Institucionales (apdo. Cuarto.4).</t>
        </is>
      </c>
    </row>
    <row r="679">
      <c r="A679" s="20" t="n">
        <v>70</v>
      </c>
      <c r="B679" s="20" t="inlineStr">
        <is>
          <t>Consejo Estatal de Medios Audiovisuales (CEMA)</t>
        </is>
      </c>
      <c r="C679" s="20" t="inlineStr">
        <is>
          <t>Clasificación: útil / no útil</t>
        </is>
      </c>
      <c r="D679" s="20" t="inlineStr">
        <is>
          <t>BV</t>
        </is>
      </c>
      <c r="E679" s="20" t="n"/>
      <c r="F679" s="20" t="inlineStr">
        <is>
          <t>Extinguida</t>
        </is>
      </c>
    </row>
    <row r="680">
      <c r="A680" s="20" t="n">
        <v>70</v>
      </c>
      <c r="B680" s="20" t="inlineStr">
        <is>
          <t>Consejo Estatal de Medios Audiovisuales (CEMA)</t>
        </is>
      </c>
      <c r="C680" s="20" t="inlineStr">
        <is>
          <t>Clasificación: veredicto</t>
        </is>
      </c>
      <c r="D680" s="20" t="inlineStr">
        <is>
          <t>BW</t>
        </is>
      </c>
      <c r="E680" s="20" t="n"/>
      <c r="F680" s="20" t="inlineStr">
        <is>
          <t>Extinguida</t>
        </is>
      </c>
    </row>
    <row r="681">
      <c r="A681" s="20" t="n">
        <v>70</v>
      </c>
      <c r="B681" s="20" t="inlineStr">
        <is>
          <t>Consejo Estatal de Medios Audiovisuales (CEMA)</t>
        </is>
      </c>
      <c r="C681" s="20" t="inlineStr">
        <is>
          <t>Clasificación: función</t>
        </is>
      </c>
      <c r="D681" s="20" t="inlineStr">
        <is>
          <t>BX</t>
        </is>
      </c>
      <c r="E681" s="20" t="n"/>
      <c r="F681" s="20" t="inlineStr">
        <is>
          <t>Extinguida o no constituida</t>
        </is>
      </c>
    </row>
    <row r="682">
      <c r="A682" s="20" t="n">
        <v>70</v>
      </c>
      <c r="B682" s="20" t="inlineStr">
        <is>
          <t>Consejo Estatal de Medios Audiovisuales (CEMA)</t>
        </is>
      </c>
      <c r="C682" s="20" t="inlineStr">
        <is>
          <t>Clasificación: duplicidad</t>
        </is>
      </c>
      <c r="D682" s="20" t="inlineStr">
        <is>
          <t>BY</t>
        </is>
      </c>
      <c r="E682" s="20" t="n"/>
      <c r="F682" s="20" t="inlineStr">
        <is>
          <t>4 organismos sobre este tema entre el Estado y las CCAA (verificados)</t>
        </is>
      </c>
    </row>
    <row r="683">
      <c r="A683" s="20" t="n">
        <v>70</v>
      </c>
      <c r="B683" s="20" t="inlineStr">
        <is>
          <t>Consejo Estatal de Medios Audiovisuales (CEMA)</t>
        </is>
      </c>
      <c r="C683" s="20" t="inlineStr">
        <is>
          <t>Clasificación: exigida por la UE</t>
        </is>
      </c>
      <c r="D683" s="20" t="inlineStr">
        <is>
          <t>BZ</t>
        </is>
      </c>
      <c r="E683" s="20" t="n"/>
      <c r="F683" s="20" t="inlineStr">
        <is>
          <t>No</t>
        </is>
      </c>
    </row>
    <row r="684">
      <c r="A684" s="20" t="n">
        <v>70</v>
      </c>
      <c r="B684" s="20" t="inlineStr">
        <is>
          <t>Consejo Estatal de Medios Audiovisuales (CEMA)</t>
        </is>
      </c>
      <c r="C684" s="20" t="inlineStr">
        <is>
          <t>Clasificación: actividad reciente</t>
        </is>
      </c>
      <c r="D684" s="20" t="inlineStr">
        <is>
          <t>CA</t>
        </is>
      </c>
      <c r="E684" s="20" t="n"/>
      <c r="F684" s="20" t="inlineStr">
        <is>
          <t>No aplica (no vigente)</t>
        </is>
      </c>
    </row>
    <row r="685">
      <c r="A685" s="20" t="n">
        <v>70</v>
      </c>
      <c r="B685" s="20" t="inlineStr">
        <is>
          <t>Consejo Estatal de Medios Audiovisuales (CEMA)</t>
        </is>
      </c>
      <c r="C685" s="20" t="inlineStr">
        <is>
          <t>Clasificación: motivo</t>
        </is>
      </c>
      <c r="D685" s="20" t="inlineStr">
        <is>
          <t>CB</t>
        </is>
      </c>
      <c r="E685" s="20" t="n"/>
      <c r="F685" s="20" t="inlineStr">
        <is>
          <t>Creado por ley en 2010, nunca constituido; extinguido en 2013 (CNMC).</t>
        </is>
      </c>
    </row>
    <row r="686">
      <c r="A686" s="20" t="n">
        <v>70</v>
      </c>
      <c r="B686" s="20" t="inlineStr">
        <is>
          <t>Consejo Estatal de Medios Audiovisuales (CEMA)</t>
        </is>
      </c>
      <c r="C686" s="20" t="inlineStr">
        <is>
          <t>Tema funcional</t>
        </is>
      </c>
      <c r="D686" s="20" t="inlineStr">
        <is>
          <t>CE</t>
        </is>
      </c>
      <c r="E686" s="20" t="n"/>
      <c r="F686" s="20" t="inlineStr">
        <is>
          <t>Consejos audiovisuales (reguladores)</t>
        </is>
      </c>
    </row>
    <row r="687">
      <c r="A687" s="20" t="n">
        <v>70</v>
      </c>
      <c r="B687" s="20" t="inlineStr">
        <is>
          <t>Consejo Estatal de Medios Audiovisuales (CEMA)</t>
        </is>
      </c>
      <c r="C687" s="20" t="inlineStr">
        <is>
          <t>Organismos del mismo tema (Estado + CCAA, verificados)</t>
        </is>
      </c>
      <c r="D687" s="20" t="inlineStr">
        <is>
          <t>CF</t>
        </is>
      </c>
      <c r="E687" s="20" t="n"/>
      <c r="F687" s="20" t="n">
        <v>4</v>
      </c>
    </row>
    <row r="688">
      <c r="A688" s="20" t="n">
        <v>71</v>
      </c>
      <c r="B688" s="20" t="inlineStr">
        <is>
          <t>Comisión Nacional del Juego</t>
        </is>
      </c>
      <c r="C688" s="20" t="inlineStr">
        <is>
          <t>Clasificación: útil / no útil</t>
        </is>
      </c>
      <c r="D688" s="20" t="inlineStr">
        <is>
          <t>BV</t>
        </is>
      </c>
      <c r="E688" s="20" t="n"/>
      <c r="F688" s="20" t="inlineStr">
        <is>
          <t>Extinguida</t>
        </is>
      </c>
    </row>
    <row r="689">
      <c r="A689" s="20" t="n">
        <v>71</v>
      </c>
      <c r="B689" s="20" t="inlineStr">
        <is>
          <t>Comisión Nacional del Juego</t>
        </is>
      </c>
      <c r="C689" s="20" t="inlineStr">
        <is>
          <t>Clasificación: veredicto</t>
        </is>
      </c>
      <c r="D689" s="20" t="inlineStr">
        <is>
          <t>BW</t>
        </is>
      </c>
      <c r="E689" s="20" t="n"/>
      <c r="F689" s="20" t="inlineStr">
        <is>
          <t>Extinguida</t>
        </is>
      </c>
    </row>
    <row r="690">
      <c r="A690" s="20" t="n">
        <v>71</v>
      </c>
      <c r="B690" s="20" t="inlineStr">
        <is>
          <t>Comisión Nacional del Juego</t>
        </is>
      </c>
      <c r="C690" s="20" t="inlineStr">
        <is>
          <t>Clasificación: función</t>
        </is>
      </c>
      <c r="D690" s="20" t="inlineStr">
        <is>
          <t>BX</t>
        </is>
      </c>
      <c r="E690" s="20" t="n"/>
      <c r="F690" s="20" t="inlineStr">
        <is>
          <t>Extinguida o no constituida</t>
        </is>
      </c>
    </row>
    <row r="691">
      <c r="A691" s="20" t="n">
        <v>71</v>
      </c>
      <c r="B691" s="20" t="inlineStr">
        <is>
          <t>Comisión Nacional del Juego</t>
        </is>
      </c>
      <c r="C691" s="20" t="inlineStr">
        <is>
          <t>Clasificación: exigida por la UE</t>
        </is>
      </c>
      <c r="D691" s="20" t="inlineStr">
        <is>
          <t>BZ</t>
        </is>
      </c>
      <c r="E691" s="20" t="n"/>
      <c r="F691" s="20" t="inlineStr">
        <is>
          <t>No</t>
        </is>
      </c>
    </row>
    <row r="692">
      <c r="A692" s="20" t="n">
        <v>71</v>
      </c>
      <c r="B692" s="20" t="inlineStr">
        <is>
          <t>Comisión Nacional del Juego</t>
        </is>
      </c>
      <c r="C692" s="20" t="inlineStr">
        <is>
          <t>Clasificación: actividad reciente</t>
        </is>
      </c>
      <c r="D692" s="20" t="inlineStr">
        <is>
          <t>CA</t>
        </is>
      </c>
      <c r="E692" s="20" t="n"/>
      <c r="F692" s="20" t="inlineStr">
        <is>
          <t>No aplica (no vigente)</t>
        </is>
      </c>
    </row>
    <row r="693">
      <c r="A693" s="20" t="n">
        <v>71</v>
      </c>
      <c r="B693" s="20" t="inlineStr">
        <is>
          <t>Comisión Nacional del Juego</t>
        </is>
      </c>
      <c r="C693" s="20" t="inlineStr">
        <is>
          <t>Clasificación: motivo</t>
        </is>
      </c>
      <c r="D693" s="20" t="inlineStr">
        <is>
          <t>CB</t>
        </is>
      </c>
      <c r="E693" s="20" t="n"/>
      <c r="F693" s="20" t="inlineStr">
        <is>
          <t>Creada por ley, constitución no demostrada; extinguida en 2013 (funciones a la DGOJ).</t>
        </is>
      </c>
    </row>
    <row r="694">
      <c r="A694" s="20" t="n">
        <v>71</v>
      </c>
      <c r="B694" s="20" t="inlineStr">
        <is>
          <t>Comisión Nacional del Juego</t>
        </is>
      </c>
      <c r="C694" s="20" t="inlineStr">
        <is>
          <t>Tema funcional</t>
        </is>
      </c>
      <c r="D694" s="20" t="inlineStr">
        <is>
          <t>CE</t>
        </is>
      </c>
      <c r="E694" s="20" t="n"/>
      <c r="F694" s="20" t="inlineStr">
        <is>
          <t>Juego</t>
        </is>
      </c>
    </row>
    <row r="695">
      <c r="A695" s="20" t="n">
        <v>72</v>
      </c>
      <c r="B695" s="20" t="inlineStr">
        <is>
          <t>Comisión de Regulación Económica Aeroportuaria (CREA)</t>
        </is>
      </c>
      <c r="C695" s="20" t="inlineStr">
        <is>
          <t>Clasificación: útil / no útil</t>
        </is>
      </c>
      <c r="D695" s="20" t="inlineStr">
        <is>
          <t>BV</t>
        </is>
      </c>
      <c r="E695" s="20" t="n"/>
      <c r="F695" s="20" t="inlineStr">
        <is>
          <t>Extinguida</t>
        </is>
      </c>
    </row>
    <row r="696">
      <c r="A696" s="20" t="n">
        <v>72</v>
      </c>
      <c r="B696" s="20" t="inlineStr">
        <is>
          <t>Comisión de Regulación Económica Aeroportuaria (CREA)</t>
        </is>
      </c>
      <c r="C696" s="20" t="inlineStr">
        <is>
          <t>Clasificación: veredicto</t>
        </is>
      </c>
      <c r="D696" s="20" t="inlineStr">
        <is>
          <t>BW</t>
        </is>
      </c>
      <c r="E696" s="20" t="n"/>
      <c r="F696" s="20" t="inlineStr">
        <is>
          <t>Extinguida</t>
        </is>
      </c>
    </row>
    <row r="697">
      <c r="A697" s="20" t="n">
        <v>72</v>
      </c>
      <c r="B697" s="20" t="inlineStr">
        <is>
          <t>Comisión de Regulación Económica Aeroportuaria (CREA)</t>
        </is>
      </c>
      <c r="C697" s="20" t="inlineStr">
        <is>
          <t>Clasificación: función</t>
        </is>
      </c>
      <c r="D697" s="20" t="inlineStr">
        <is>
          <t>BX</t>
        </is>
      </c>
      <c r="E697" s="20" t="n"/>
      <c r="F697" s="20" t="inlineStr">
        <is>
          <t>Extinguida o no constituida</t>
        </is>
      </c>
    </row>
    <row r="698">
      <c r="A698" s="20" t="n">
        <v>72</v>
      </c>
      <c r="B698" s="20" t="inlineStr">
        <is>
          <t>Comisión de Regulación Económica Aeroportuaria (CREA)</t>
        </is>
      </c>
      <c r="C698" s="20" t="inlineStr">
        <is>
          <t>Clasificación: exigida por la UE</t>
        </is>
      </c>
      <c r="D698" s="20" t="inlineStr">
        <is>
          <t>BZ</t>
        </is>
      </c>
      <c r="E698" s="20" t="n"/>
      <c r="F698" s="20" t="inlineStr">
        <is>
          <t>No</t>
        </is>
      </c>
    </row>
    <row r="699">
      <c r="A699" s="20" t="n">
        <v>72</v>
      </c>
      <c r="B699" s="20" t="inlineStr">
        <is>
          <t>Comisión de Regulación Económica Aeroportuaria (CREA)</t>
        </is>
      </c>
      <c r="C699" s="20" t="inlineStr">
        <is>
          <t>Clasificación: actividad reciente</t>
        </is>
      </c>
      <c r="D699" s="20" t="inlineStr">
        <is>
          <t>CA</t>
        </is>
      </c>
      <c r="E699" s="20" t="n"/>
      <c r="F699" s="20" t="inlineStr">
        <is>
          <t>No aplica (no vigente)</t>
        </is>
      </c>
    </row>
    <row r="700">
      <c r="A700" s="20" t="n">
        <v>72</v>
      </c>
      <c r="B700" s="20" t="inlineStr">
        <is>
          <t>Comisión de Regulación Económica Aeroportuaria (CREA)</t>
        </is>
      </c>
      <c r="C700" s="20" t="inlineStr">
        <is>
          <t>Clasificación: motivo</t>
        </is>
      </c>
      <c r="D700" s="20" t="inlineStr">
        <is>
          <t>CB</t>
        </is>
      </c>
      <c r="E700" s="20" t="n"/>
      <c r="F700" s="20" t="inlineStr">
        <is>
          <t>Creada por ley, constitución no demostrada; extinguida en 2013 (CNMC).</t>
        </is>
      </c>
    </row>
    <row r="701">
      <c r="A701" s="20" t="n">
        <v>72</v>
      </c>
      <c r="B701" s="20" t="inlineStr">
        <is>
          <t>Comisión de Regulación Económica Aeroportuaria (CREA)</t>
        </is>
      </c>
      <c r="C701" s="20" t="inlineStr">
        <is>
          <t>Tema funcional</t>
        </is>
      </c>
      <c r="D701" s="20" t="inlineStr">
        <is>
          <t>CE</t>
        </is>
      </c>
      <c r="E701" s="20" t="n"/>
      <c r="F701" s="20" t="inlineStr">
        <is>
          <t>Tarifas aeroportuarias</t>
        </is>
      </c>
    </row>
    <row r="702">
      <c r="A702" s="20" t="n">
        <v>73</v>
      </c>
      <c r="B702" s="20" t="inlineStr">
        <is>
          <t>Agencia Andaluza de Cooperación Internacional para el Desarrollo (AACID)</t>
        </is>
      </c>
      <c r="C702" s="20" t="inlineStr">
        <is>
          <t>Clasificación: útil / no útil</t>
        </is>
      </c>
      <c r="D702" s="20" t="inlineStr">
        <is>
          <t>BV</t>
        </is>
      </c>
      <c r="E702" s="20" t="n"/>
      <c r="F702" s="20" t="inlineStr">
        <is>
          <t>No útil</t>
        </is>
      </c>
    </row>
    <row r="703">
      <c r="A703" s="20" t="n">
        <v>73</v>
      </c>
      <c r="B703" s="20" t="inlineStr">
        <is>
          <t>Agencia Andaluza de Cooperación Internacional para el Desarrollo (AACID)</t>
        </is>
      </c>
      <c r="C703" s="20" t="inlineStr">
        <is>
          <t>Clasificación: veredicto</t>
        </is>
      </c>
      <c r="D703" s="20" t="inlineStr">
        <is>
          <t>BW</t>
        </is>
      </c>
      <c r="E703" s="20" t="n"/>
      <c r="F703" s="20" t="inlineStr">
        <is>
          <t>Suprimir</t>
        </is>
      </c>
    </row>
    <row r="704">
      <c r="A704" s="20" t="n">
        <v>73</v>
      </c>
      <c r="B704" s="20" t="inlineStr">
        <is>
          <t>Agencia Andaluza de Cooperación Internacional para el Desarrollo (AACID)</t>
        </is>
      </c>
      <c r="C704" s="20" t="inlineStr">
        <is>
          <t>Clasificación: función</t>
        </is>
      </c>
      <c r="D704" s="20" t="inlineStr">
        <is>
          <t>BX</t>
        </is>
      </c>
      <c r="E704" s="20" t="n"/>
      <c r="F704" s="20" t="inlineStr">
        <is>
          <t>Financiación y ayudas</t>
        </is>
      </c>
    </row>
    <row r="705">
      <c r="A705" s="20" t="n">
        <v>73</v>
      </c>
      <c r="B705" s="20" t="inlineStr">
        <is>
          <t>Agencia Andaluza de Cooperación Internacional para el Desarrollo (AACID)</t>
        </is>
      </c>
      <c r="C705" s="20" t="inlineStr">
        <is>
          <t>Clasificación: duplicidad</t>
        </is>
      </c>
      <c r="D705" s="20" t="inlineStr">
        <is>
          <t>BY</t>
        </is>
      </c>
      <c r="E705" s="20" t="n"/>
      <c r="F705" s="20" t="inlineStr">
        <is>
          <t>Paralelo a AECID: cada nivel actúa con sus propios fondos o competencias. 6 organismos sobre este tema entre el Estado y las CCAA (verificados).</t>
        </is>
      </c>
    </row>
    <row r="706">
      <c r="A706" s="20" t="n">
        <v>73</v>
      </c>
      <c r="B706" s="20" t="inlineStr">
        <is>
          <t>Agencia Andaluza de Cooperación Internacional para el Desarrollo (AACID)</t>
        </is>
      </c>
      <c r="C706" s="20" t="inlineStr">
        <is>
          <t>Clasificación: exigida por la UE</t>
        </is>
      </c>
      <c r="D706" s="20" t="inlineStr">
        <is>
          <t>BZ</t>
        </is>
      </c>
      <c r="E706" s="20" t="n"/>
      <c r="F706" s="20" t="inlineStr">
        <is>
          <t>No</t>
        </is>
      </c>
    </row>
    <row r="707">
      <c r="A707" s="20" t="n">
        <v>73</v>
      </c>
      <c r="B707" s="20" t="inlineStr">
        <is>
          <t>Agencia Andaluza de Cooperación Internacional para el Desarrollo (AACID)</t>
        </is>
      </c>
      <c r="C707" s="20" t="inlineStr">
        <is>
          <t>Clasificación: actividad reciente</t>
        </is>
      </c>
      <c r="D707" s="20" t="inlineStr">
        <is>
          <t>CA</t>
        </is>
      </c>
      <c r="E707" s="20" t="n"/>
      <c r="F707" s="20" t="inlineStr">
        <is>
          <t>Acreditada</t>
        </is>
      </c>
    </row>
    <row r="708">
      <c r="A708" s="20" t="n">
        <v>73</v>
      </c>
      <c r="B708" s="20" t="inlineStr">
        <is>
          <t>Agencia Andaluza de Cooperación Internacional para el Desarrollo (AACID)</t>
        </is>
      </c>
      <c r="C708" s="20" t="inlineStr">
        <is>
          <t>Clasificación: motivo</t>
        </is>
      </c>
      <c r="D708" s="20" t="inlineStr">
        <is>
          <t>CB</t>
        </is>
      </c>
      <c r="E708" s="20" t="n"/>
      <c r="F708" s="20" t="inlineStr">
        <is>
          <t>Cooperación autonómica al desarrollo: el P100 concentra la cooperación en el Estado y en países que colaboren en el control migratorio; una agencia autonómica no sirve a ese fin.</t>
        </is>
      </c>
    </row>
    <row r="709">
      <c r="A709" s="20" t="n">
        <v>73</v>
      </c>
      <c r="B709" s="20" t="inlineStr">
        <is>
          <t>Agencia Andaluza de Cooperación Internacional para el Desarrollo (AACID)</t>
        </is>
      </c>
      <c r="C709" s="20" t="inlineStr">
        <is>
          <t>Clasificación: base en el P100</t>
        </is>
      </c>
      <c r="D709" s="20" t="inlineStr">
        <is>
          <t>CC</t>
        </is>
      </c>
      <c r="E709" s="20" t="n"/>
      <c r="F709" s="20" t="inlineStr">
        <is>
          <t>Explícito en el P100: Costes del Estado 5 y criterio Extramuros del 12/10/2026</t>
        </is>
      </c>
    </row>
    <row r="710">
      <c r="A710" s="20" t="n">
        <v>73</v>
      </c>
      <c r="B710" s="20" t="inlineStr">
        <is>
          <t>Agencia Andaluza de Cooperación Internacional para el Desarrollo (AACID)</t>
        </is>
      </c>
      <c r="C710" s="20" t="inlineStr">
        <is>
          <t>Tema funcional</t>
        </is>
      </c>
      <c r="D710" s="20" t="inlineStr">
        <is>
          <t>CE</t>
        </is>
      </c>
      <c r="E710" s="20" t="n"/>
      <c r="F710" s="20" t="inlineStr">
        <is>
          <t>Agencias de cooperación al desarrollo</t>
        </is>
      </c>
    </row>
    <row r="711">
      <c r="A711" s="20" t="n">
        <v>73</v>
      </c>
      <c r="B711" s="20" t="inlineStr">
        <is>
          <t>Agencia Andaluza de Cooperación Internacional para el Desarrollo (AACID)</t>
        </is>
      </c>
      <c r="C711" s="20" t="inlineStr">
        <is>
          <t>Organismos del mismo tema (Estado + CCAA, verificados)</t>
        </is>
      </c>
      <c r="D711" s="20" t="inlineStr">
        <is>
          <t>CF</t>
        </is>
      </c>
      <c r="E711" s="20" t="n"/>
      <c r="F711" s="20" t="n">
        <v>6</v>
      </c>
    </row>
    <row r="712">
      <c r="A712" s="20" t="n">
        <v>74</v>
      </c>
      <c r="B712" s="20" t="inlineStr">
        <is>
          <t>Agencia de Defensa de la Competencia de Andalucía</t>
        </is>
      </c>
      <c r="C712" s="20" t="inlineStr">
        <is>
          <t>Clasificación: útil / no útil</t>
        </is>
      </c>
      <c r="D712" s="20" t="inlineStr">
        <is>
          <t>BV</t>
        </is>
      </c>
      <c r="E712" s="20" t="n"/>
      <c r="F712" s="20" t="inlineStr">
        <is>
          <t>No útil</t>
        </is>
      </c>
    </row>
    <row r="713">
      <c r="A713" s="20" t="n">
        <v>74</v>
      </c>
      <c r="B713" s="20" t="inlineStr">
        <is>
          <t>Agencia de Defensa de la Competencia de Andalucía</t>
        </is>
      </c>
      <c r="C713" s="20" t="inlineStr">
        <is>
          <t>Clasificación: veredicto</t>
        </is>
      </c>
      <c r="D713" s="20" t="inlineStr">
        <is>
          <t>BW</t>
        </is>
      </c>
      <c r="E713" s="20" t="n"/>
      <c r="F713" s="20" t="inlineStr">
        <is>
          <t>Integrar</t>
        </is>
      </c>
    </row>
    <row r="714">
      <c r="A714" s="20" t="n">
        <v>74</v>
      </c>
      <c r="B714" s="20" t="inlineStr">
        <is>
          <t>Agencia de Defensa de la Competencia de Andalucía</t>
        </is>
      </c>
      <c r="C714" s="20" t="inlineStr">
        <is>
          <t>Clasificación: función</t>
        </is>
      </c>
      <c r="D714" s="20" t="inlineStr">
        <is>
          <t>BX</t>
        </is>
      </c>
      <c r="E714" s="20" t="n"/>
      <c r="F714" s="20" t="inlineStr">
        <is>
          <t>Regulación o inspección de terceros</t>
        </is>
      </c>
    </row>
    <row r="715">
      <c r="A715" s="20" t="n">
        <v>74</v>
      </c>
      <c r="B715" s="20" t="inlineStr">
        <is>
          <t>Agencia de Defensa de la Competencia de Andalucía</t>
        </is>
      </c>
      <c r="C715" s="20" t="inlineStr">
        <is>
          <t>Clasificación: duplicidad</t>
        </is>
      </c>
      <c r="D715" s="20" t="inlineStr">
        <is>
          <t>BY</t>
        </is>
      </c>
      <c r="E715" s="20" t="n"/>
      <c r="F715" s="20" t="inlineStr">
        <is>
          <t>Duplica a CNMC, que ya cubre este territorio o puede hacerlo. 10 organismos sobre este tema entre el Estado y las CCAA (verificados).</t>
        </is>
      </c>
    </row>
    <row r="716">
      <c r="A716" s="20" t="n">
        <v>74</v>
      </c>
      <c r="B716" s="20" t="inlineStr">
        <is>
          <t>Agencia de Defensa de la Competencia de Andalucía</t>
        </is>
      </c>
      <c r="C716" s="20" t="inlineStr">
        <is>
          <t>Clasificación: exigida por la UE</t>
        </is>
      </c>
      <c r="D716" s="20" t="inlineStr">
        <is>
          <t>BZ</t>
        </is>
      </c>
      <c r="E716" s="20" t="n"/>
      <c r="F716" s="20" t="inlineStr">
        <is>
          <t>No</t>
        </is>
      </c>
    </row>
    <row r="717">
      <c r="A717" s="20" t="n">
        <v>74</v>
      </c>
      <c r="B717" s="20" t="inlineStr">
        <is>
          <t>Agencia de Defensa de la Competencia de Andalucía</t>
        </is>
      </c>
      <c r="C717" s="20" t="inlineStr">
        <is>
          <t>Clasificación: actividad reciente</t>
        </is>
      </c>
      <c r="D717" s="20" t="inlineStr">
        <is>
          <t>CA</t>
        </is>
      </c>
      <c r="E717" s="20" t="n"/>
      <c r="F717" s="20" t="inlineStr">
        <is>
          <t>Parcial</t>
        </is>
      </c>
    </row>
    <row r="718">
      <c r="A718" s="20" t="n">
        <v>74</v>
      </c>
      <c r="B718" s="20" t="inlineStr">
        <is>
          <t>Agencia de Defensa de la Competencia de Andalucía</t>
        </is>
      </c>
      <c r="C718" s="20" t="inlineStr">
        <is>
          <t>Clasificación: motivo</t>
        </is>
      </c>
      <c r="D718" s="20" t="inlineStr">
        <is>
          <t>CB</t>
        </is>
      </c>
      <c r="E718" s="20" t="n"/>
      <c r="F718" s="20" t="inlineStr">
        <is>
          <t>Autoridad autonómica de competencia; la CNMC ya actúa en todo el territorio.</t>
        </is>
      </c>
    </row>
    <row r="719">
      <c r="A719" s="20" t="n">
        <v>74</v>
      </c>
      <c r="B719" s="20" t="inlineStr">
        <is>
          <t>Agencia de Defensa de la Competencia de Andalucía</t>
        </is>
      </c>
      <c r="C719" s="20" t="inlineStr">
        <is>
          <t>Clasificación: base en el P100</t>
        </is>
      </c>
      <c r="D719" s="20" t="inlineStr">
        <is>
          <t>CC</t>
        </is>
      </c>
      <c r="E719" s="20" t="n"/>
      <c r="F719" s="20" t="inlineStr">
        <is>
          <t>Aplicando el criterio del P100: Criterio Extramuros del 12/10/2026 («con una nacional basta»)</t>
        </is>
      </c>
    </row>
    <row r="720">
      <c r="A720" s="20" t="n">
        <v>74</v>
      </c>
      <c r="B720" s="20" t="inlineStr">
        <is>
          <t>Agencia de Defensa de la Competencia de Andalucía</t>
        </is>
      </c>
      <c r="C720" s="20" t="inlineStr">
        <is>
          <t>Clasificación: destino de sus funciones</t>
        </is>
      </c>
      <c r="D720" s="20" t="inlineStr">
        <is>
          <t>CD</t>
        </is>
      </c>
      <c r="E720" s="20" t="n"/>
      <c r="F720" s="20" t="inlineStr">
        <is>
          <t>Comisión Nacional de los Mercados y la Competencia (CNMC)</t>
        </is>
      </c>
    </row>
    <row r="721">
      <c r="A721" s="20" t="n">
        <v>74</v>
      </c>
      <c r="B721" s="20" t="inlineStr">
        <is>
          <t>Agencia de Defensa de la Competencia de Andalucía</t>
        </is>
      </c>
      <c r="C721" s="20" t="inlineStr">
        <is>
          <t>Tema funcional</t>
        </is>
      </c>
      <c r="D721" s="20" t="inlineStr">
        <is>
          <t>CE</t>
        </is>
      </c>
      <c r="E721" s="20" t="n"/>
      <c r="F721" s="20" t="inlineStr">
        <is>
          <t>Autoridades de defensa de la competencia</t>
        </is>
      </c>
    </row>
    <row r="722">
      <c r="A722" s="20" t="n">
        <v>74</v>
      </c>
      <c r="B722" s="20" t="inlineStr">
        <is>
          <t>Agencia de Defensa de la Competencia de Andalucía</t>
        </is>
      </c>
      <c r="C722" s="20" t="inlineStr">
        <is>
          <t>Organismos del mismo tema (Estado + CCAA, verificados)</t>
        </is>
      </c>
      <c r="D722" s="20" t="inlineStr">
        <is>
          <t>CF</t>
        </is>
      </c>
      <c r="E722" s="20" t="n"/>
      <c r="F722" s="20" t="n">
        <v>10</v>
      </c>
    </row>
    <row r="723">
      <c r="A723" s="20" t="n">
        <v>75</v>
      </c>
      <c r="B723" s="20" t="inlineStr">
        <is>
          <t>Agencia Tributaria de Andalucía</t>
        </is>
      </c>
      <c r="C723" s="20" t="inlineStr">
        <is>
          <t>Clasificación: útil / no útil</t>
        </is>
      </c>
      <c r="D723" s="20" t="inlineStr">
        <is>
          <t>BV</t>
        </is>
      </c>
      <c r="E723" s="20" t="n"/>
      <c r="F723" s="20" t="inlineStr">
        <is>
          <t>No útil</t>
        </is>
      </c>
    </row>
    <row r="724">
      <c r="A724" s="20" t="n">
        <v>75</v>
      </c>
      <c r="B724" s="20" t="inlineStr">
        <is>
          <t>Agencia Tributaria de Andalucía</t>
        </is>
      </c>
      <c r="C724" s="20" t="inlineStr">
        <is>
          <t>Clasificación: veredicto</t>
        </is>
      </c>
      <c r="D724" s="20" t="inlineStr">
        <is>
          <t>BW</t>
        </is>
      </c>
      <c r="E724" s="20" t="n"/>
      <c r="F724" s="20" t="inlineStr">
        <is>
          <t>Integrar</t>
        </is>
      </c>
    </row>
    <row r="725">
      <c r="A725" s="20" t="n">
        <v>75</v>
      </c>
      <c r="B725" s="20" t="inlineStr">
        <is>
          <t>Agencia Tributaria de Andalucía</t>
        </is>
      </c>
      <c r="C725" s="20" t="inlineStr">
        <is>
          <t>Clasificación: función</t>
        </is>
      </c>
      <c r="D725" s="20" t="inlineStr">
        <is>
          <t>BX</t>
        </is>
      </c>
      <c r="E725" s="20" t="n"/>
      <c r="F725" s="20" t="inlineStr">
        <is>
          <t>Servicio público directo</t>
        </is>
      </c>
    </row>
    <row r="726">
      <c r="A726" s="20" t="n">
        <v>75</v>
      </c>
      <c r="B726" s="20" t="inlineStr">
        <is>
          <t>Agencia Tributaria de Andalucía</t>
        </is>
      </c>
      <c r="C726" s="20" t="inlineStr">
        <is>
          <t>Clasificación: duplicidad</t>
        </is>
      </c>
      <c r="D726" s="20" t="inlineStr">
        <is>
          <t>BY</t>
        </is>
      </c>
      <c r="E726" s="20" t="n"/>
      <c r="F726" s="20" t="inlineStr">
        <is>
          <t>Competencia autonómica que el Estado no presta en ese territorio; la duplicidad es de forma (agencia propia o dirección general). 12 organismos sobre este tema entre el Estado y las CCAA (verificados).</t>
        </is>
      </c>
    </row>
    <row r="727">
      <c r="A727" s="20" t="n">
        <v>75</v>
      </c>
      <c r="B727" s="20" t="inlineStr">
        <is>
          <t>Agencia Tributaria de Andalucía</t>
        </is>
      </c>
      <c r="C727" s="20" t="inlineStr">
        <is>
          <t>Clasificación: exigida por la UE</t>
        </is>
      </c>
      <c r="D727" s="20" t="inlineStr">
        <is>
          <t>BZ</t>
        </is>
      </c>
      <c r="E727" s="20" t="n"/>
      <c r="F727" s="20" t="inlineStr">
        <is>
          <t>No</t>
        </is>
      </c>
    </row>
    <row r="728">
      <c r="A728" s="20" t="n">
        <v>75</v>
      </c>
      <c r="B728" s="20" t="inlineStr">
        <is>
          <t>Agencia Tributaria de Andalucía</t>
        </is>
      </c>
      <c r="C728" s="20" t="inlineStr">
        <is>
          <t>Clasificación: actividad reciente</t>
        </is>
      </c>
      <c r="D728" s="20" t="inlineStr">
        <is>
          <t>CA</t>
        </is>
      </c>
      <c r="E728" s="20" t="n"/>
      <c r="F728" s="20" t="inlineStr">
        <is>
          <t>Acreditada</t>
        </is>
      </c>
    </row>
    <row r="729">
      <c r="A729" s="20" t="n">
        <v>75</v>
      </c>
      <c r="B729" s="20" t="inlineStr">
        <is>
          <t>Agencia Tributaria de Andalucía</t>
        </is>
      </c>
      <c r="C729" s="20" t="inlineStr">
        <is>
          <t>Clasificación: motivo</t>
        </is>
      </c>
      <c r="D729" s="20" t="inlineStr">
        <is>
          <t>CB</t>
        </is>
      </c>
      <c r="E729" s="20" t="n"/>
      <c r="F729" s="20" t="inlineStr">
        <is>
          <t>Gestiona tributos autonómicos y cedidos; el P100 quiere «una sola Agencia Tributaria» para todo el régimen común.</t>
        </is>
      </c>
    </row>
    <row r="730">
      <c r="A730" s="20" t="n">
        <v>75</v>
      </c>
      <c r="B730" s="20" t="inlineStr">
        <is>
          <t>Agencia Tributaria de Andalucía</t>
        </is>
      </c>
      <c r="C730" s="20" t="inlineStr">
        <is>
          <t>Clasificación: base en el P100</t>
        </is>
      </c>
      <c r="D730" s="20" t="inlineStr">
        <is>
          <t>CC</t>
        </is>
      </c>
      <c r="E730" s="20" t="n"/>
      <c r="F730" s="20" t="inlineStr">
        <is>
          <t>Explícito en el P100: Impuestos y financiación territorial 11</t>
        </is>
      </c>
    </row>
    <row r="731">
      <c r="A731" s="20" t="n">
        <v>75</v>
      </c>
      <c r="B731" s="20" t="inlineStr">
        <is>
          <t>Agencia Tributaria de Andalucía</t>
        </is>
      </c>
      <c r="C731" s="20" t="inlineStr">
        <is>
          <t>Clasificación: destino de sus funciones</t>
        </is>
      </c>
      <c r="D731" s="20" t="inlineStr">
        <is>
          <t>CD</t>
        </is>
      </c>
      <c r="E731" s="20" t="n"/>
      <c r="F731" s="20" t="inlineStr">
        <is>
          <t>Agencia Estatal de Administración Tributaria (AEAT)</t>
        </is>
      </c>
    </row>
    <row r="732">
      <c r="A732" s="20" t="n">
        <v>75</v>
      </c>
      <c r="B732" s="20" t="inlineStr">
        <is>
          <t>Agencia Tributaria de Andalucía</t>
        </is>
      </c>
      <c r="C732" s="20" t="inlineStr">
        <is>
          <t>Tema funcional</t>
        </is>
      </c>
      <c r="D732" s="20" t="inlineStr">
        <is>
          <t>CE</t>
        </is>
      </c>
      <c r="E732" s="20" t="n"/>
      <c r="F732" s="20" t="inlineStr">
        <is>
          <t>Agencias tributarias</t>
        </is>
      </c>
    </row>
    <row r="733">
      <c r="A733" s="20" t="n">
        <v>75</v>
      </c>
      <c r="B733" s="20" t="inlineStr">
        <is>
          <t>Agencia Tributaria de Andalucía</t>
        </is>
      </c>
      <c r="C733" s="20" t="inlineStr">
        <is>
          <t>Organismos del mismo tema (Estado + CCAA, verificados)</t>
        </is>
      </c>
      <c r="D733" s="20" t="inlineStr">
        <is>
          <t>CF</t>
        </is>
      </c>
      <c r="E733" s="20" t="n"/>
      <c r="F733" s="20" t="n">
        <v>12</v>
      </c>
    </row>
    <row r="734">
      <c r="A734" s="20" t="n">
        <v>76</v>
      </c>
      <c r="B734" s="20" t="inlineStr">
        <is>
          <t>Consejo de Transparencia y Protección de Datos de Andalucía</t>
        </is>
      </c>
      <c r="C734" s="20" t="inlineStr">
        <is>
          <t>Clasificación: útil / no útil</t>
        </is>
      </c>
      <c r="D734" s="20" t="inlineStr">
        <is>
          <t>BV</t>
        </is>
      </c>
      <c r="E734" s="20" t="n"/>
      <c r="F734" s="20" t="inlineStr">
        <is>
          <t>No útil</t>
        </is>
      </c>
    </row>
    <row r="735">
      <c r="A735" s="20" t="n">
        <v>76</v>
      </c>
      <c r="B735" s="20" t="inlineStr">
        <is>
          <t>Consejo de Transparencia y Protección de Datos de Andalucía</t>
        </is>
      </c>
      <c r="C735" s="20" t="inlineStr">
        <is>
          <t>Clasificación: veredicto</t>
        </is>
      </c>
      <c r="D735" s="20" t="inlineStr">
        <is>
          <t>BW</t>
        </is>
      </c>
      <c r="E735" s="20" t="n"/>
      <c r="F735" s="20" t="inlineStr">
        <is>
          <t>Integrar</t>
        </is>
      </c>
    </row>
    <row r="736">
      <c r="A736" s="20" t="n">
        <v>76</v>
      </c>
      <c r="B736" s="20" t="inlineStr">
        <is>
          <t>Consejo de Transparencia y Protección de Datos de Andalucía</t>
        </is>
      </c>
      <c r="C736" s="20" t="inlineStr">
        <is>
          <t>Clasificación: función</t>
        </is>
      </c>
      <c r="D736" s="20" t="inlineStr">
        <is>
          <t>BX</t>
        </is>
      </c>
      <c r="E736" s="20" t="n"/>
      <c r="F736" s="20" t="inlineStr">
        <is>
          <t>Control interno y cumplimiento</t>
        </is>
      </c>
    </row>
    <row r="737">
      <c r="A737" s="20" t="n">
        <v>76</v>
      </c>
      <c r="B737" s="20" t="inlineStr">
        <is>
          <t>Consejo de Transparencia y Protección de Datos de Andalucía</t>
        </is>
      </c>
      <c r="C737" s="20" t="inlineStr">
        <is>
          <t>Clasificación: duplicidad</t>
        </is>
      </c>
      <c r="D737" s="20" t="inlineStr">
        <is>
          <t>BY</t>
        </is>
      </c>
      <c r="E737" s="20" t="n"/>
      <c r="F737" s="20" t="inlineStr">
        <is>
          <t>Duplica a CTBG, que ya cubre este territorio o puede hacerlo. 13 organismos sobre este tema entre el Estado y las CCAA (verificados).</t>
        </is>
      </c>
    </row>
    <row r="738">
      <c r="A738" s="20" t="n">
        <v>76</v>
      </c>
      <c r="B738" s="20" t="inlineStr">
        <is>
          <t>Consejo de Transparencia y Protección de Datos de Andalucía</t>
        </is>
      </c>
      <c r="C738" s="20" t="inlineStr">
        <is>
          <t>Clasificación: exigida por la UE</t>
        </is>
      </c>
      <c r="D738" s="20" t="inlineStr">
        <is>
          <t>BZ</t>
        </is>
      </c>
      <c r="E738" s="20" t="n"/>
      <c r="F738" s="20" t="inlineStr">
        <is>
          <t>No</t>
        </is>
      </c>
    </row>
    <row r="739">
      <c r="A739" s="20" t="n">
        <v>76</v>
      </c>
      <c r="B739" s="20" t="inlineStr">
        <is>
          <t>Consejo de Transparencia y Protección de Datos de Andalucía</t>
        </is>
      </c>
      <c r="C739" s="20" t="inlineStr">
        <is>
          <t>Clasificación: actividad reciente</t>
        </is>
      </c>
      <c r="D739" s="20" t="inlineStr">
        <is>
          <t>CA</t>
        </is>
      </c>
      <c r="E739" s="20" t="n"/>
      <c r="F739" s="20" t="inlineStr">
        <is>
          <t>Acreditada</t>
        </is>
      </c>
    </row>
    <row r="740">
      <c r="A740" s="20" t="n">
        <v>76</v>
      </c>
      <c r="B740" s="20" t="inlineStr">
        <is>
          <t>Consejo de Transparencia y Protección de Datos de Andalucía</t>
        </is>
      </c>
      <c r="C740" s="20" t="inlineStr">
        <is>
          <t>Clasificación: motivo</t>
        </is>
      </c>
      <c r="D740" s="20" t="inlineStr">
        <is>
          <t>CB</t>
        </is>
      </c>
      <c r="E740" s="20" t="n"/>
      <c r="F740" s="20" t="inlineStr">
        <is>
          <t>Consejo autonómico de transparencia y datos; el CTBG ya resuelve por convenio las reclamaciones de cinco comunidades y la AEPD supervisa por defecto.</t>
        </is>
      </c>
    </row>
    <row r="741">
      <c r="A741" s="20" t="n">
        <v>76</v>
      </c>
      <c r="B741" s="20" t="inlineStr">
        <is>
          <t>Consejo de Transparencia y Protección de Datos de Andalucía</t>
        </is>
      </c>
      <c r="C741" s="20" t="inlineStr">
        <is>
          <t>Clasificación: base en el P100</t>
        </is>
      </c>
      <c r="D741" s="20" t="inlineStr">
        <is>
          <t>CC</t>
        </is>
      </c>
      <c r="E741" s="20" t="n"/>
      <c r="F741" s="20" t="inlineStr">
        <is>
          <t>Aplicando el criterio del P100: Criterio Extramuros del 12/10/2026 y Organización del Estado 11</t>
        </is>
      </c>
    </row>
    <row r="742">
      <c r="A742" s="20" t="n">
        <v>76</v>
      </c>
      <c r="B742" s="20" t="inlineStr">
        <is>
          <t>Consejo de Transparencia y Protección de Datos de Andalucía</t>
        </is>
      </c>
      <c r="C742" s="20" t="inlineStr">
        <is>
          <t>Clasificación: destino de sus funciones</t>
        </is>
      </c>
      <c r="D742" s="20" t="inlineStr">
        <is>
          <t>CD</t>
        </is>
      </c>
      <c r="E742" s="20" t="n"/>
      <c r="F742" s="20" t="inlineStr">
        <is>
          <t>Consejo de Transparencia y Buen Gobierno (CTBG) y Agencia Española de Protección de Datos (AEPD)</t>
        </is>
      </c>
    </row>
    <row r="743">
      <c r="A743" s="20" t="n">
        <v>76</v>
      </c>
      <c r="B743" s="20" t="inlineStr">
        <is>
          <t>Consejo de Transparencia y Protección de Datos de Andalucía</t>
        </is>
      </c>
      <c r="C743" s="20" t="inlineStr">
        <is>
          <t>Tema funcional</t>
        </is>
      </c>
      <c r="D743" s="20" t="inlineStr">
        <is>
          <t>CE</t>
        </is>
      </c>
      <c r="E743" s="20" t="n"/>
      <c r="F743" s="20" t="inlineStr">
        <is>
          <t>Consejos de transparencia</t>
        </is>
      </c>
    </row>
    <row r="744">
      <c r="A744" s="20" t="n">
        <v>76</v>
      </c>
      <c r="B744" s="20" t="inlineStr">
        <is>
          <t>Consejo de Transparencia y Protección de Datos de Andalucía</t>
        </is>
      </c>
      <c r="C744" s="20" t="inlineStr">
        <is>
          <t>Organismos del mismo tema (Estado + CCAA, verificados)</t>
        </is>
      </c>
      <c r="D744" s="20" t="inlineStr">
        <is>
          <t>CF</t>
        </is>
      </c>
      <c r="E744" s="20" t="n"/>
      <c r="F744" s="20" t="n">
        <v>13</v>
      </c>
    </row>
    <row r="745">
      <c r="A745" s="20" t="n">
        <v>77</v>
      </c>
      <c r="B745" s="20" t="inlineStr">
        <is>
          <t>Observatorio Territorial de Andalucía</t>
        </is>
      </c>
      <c r="C745" s="20" t="inlineStr">
        <is>
          <t>Fuentes de la ficha</t>
        </is>
      </c>
      <c r="D745" s="20" t="inlineStr">
        <is>
          <t>Z</t>
        </is>
      </c>
      <c r="E745" s="20" t="inlineStr">
        <is>
          <t>https://www.juntadeandalucia.es/boja/2007/70/4</t>
        </is>
      </c>
      <c r="F745" s="20" t="inlineStr">
        <is>
          <t>https://www.juntadeandalucia.es/boja/2007/70/4
https://cdn.juntadeandalucia.es/boja/2007/70/d5.pdf</t>
        </is>
      </c>
    </row>
    <row r="746">
      <c r="A746" s="20" t="n">
        <v>77</v>
      </c>
      <c r="B746" s="20" t="inlineStr">
        <is>
          <t>Observatorio Territorial de Andalucía</t>
        </is>
      </c>
      <c r="C746" s="20" t="inlineStr">
        <is>
          <t>Clasificación: útil / no útil</t>
        </is>
      </c>
      <c r="D746" s="20" t="inlineStr">
        <is>
          <t>BV</t>
        </is>
      </c>
      <c r="E746" s="20" t="n"/>
      <c r="F746" s="20" t="inlineStr">
        <is>
          <t>No útil</t>
        </is>
      </c>
    </row>
    <row r="747">
      <c r="A747" s="20" t="n">
        <v>77</v>
      </c>
      <c r="B747" s="20" t="inlineStr">
        <is>
          <t>Observatorio Territorial de Andalucía</t>
        </is>
      </c>
      <c r="C747" s="20" t="inlineStr">
        <is>
          <t>Clasificación: veredicto</t>
        </is>
      </c>
      <c r="D747" s="20" t="inlineStr">
        <is>
          <t>BW</t>
        </is>
      </c>
      <c r="E747" s="20" t="n"/>
      <c r="F747" s="20" t="inlineStr">
        <is>
          <t>Suprimir</t>
        </is>
      </c>
    </row>
    <row r="748">
      <c r="A748" s="20" t="n">
        <v>77</v>
      </c>
      <c r="B748" s="20" t="inlineStr">
        <is>
          <t>Observatorio Territorial de Andalucía</t>
        </is>
      </c>
      <c r="C748" s="20" t="inlineStr">
        <is>
          <t>Clasificación: función</t>
        </is>
      </c>
      <c r="D748" s="20" t="inlineStr">
        <is>
          <t>BX</t>
        </is>
      </c>
      <c r="E748" s="20" t="n"/>
      <c r="F748" s="20" t="inlineStr">
        <is>
          <t>Consultivo o participación</t>
        </is>
      </c>
    </row>
    <row r="749">
      <c r="A749" s="20" t="n">
        <v>77</v>
      </c>
      <c r="B749" s="20" t="inlineStr">
        <is>
          <t>Observatorio Territorial de Andalucía</t>
        </is>
      </c>
      <c r="C749" s="20" t="inlineStr">
        <is>
          <t>Clasificación: exigida por la UE</t>
        </is>
      </c>
      <c r="D749" s="20" t="inlineStr">
        <is>
          <t>BZ</t>
        </is>
      </c>
      <c r="E749" s="20" t="n"/>
      <c r="F749" s="20" t="inlineStr">
        <is>
          <t>No</t>
        </is>
      </c>
    </row>
    <row r="750">
      <c r="A750" s="20" t="n">
        <v>77</v>
      </c>
      <c r="B750" s="20" t="inlineStr">
        <is>
          <t>Observatorio Territorial de Andalucía</t>
        </is>
      </c>
      <c r="C750" s="20" t="inlineStr">
        <is>
          <t>Clasificación: actividad reciente</t>
        </is>
      </c>
      <c r="D750" s="20" t="inlineStr">
        <is>
          <t>CA</t>
        </is>
      </c>
      <c r="E750" s="20" t="n"/>
      <c r="F750" s="20" t="inlineStr">
        <is>
          <t>No acreditada</t>
        </is>
      </c>
    </row>
    <row r="751">
      <c r="A751" s="20" t="n">
        <v>77</v>
      </c>
      <c r="B751" s="20" t="inlineStr">
        <is>
          <t>Observatorio Territorial de Andalucía</t>
        </is>
      </c>
      <c r="C751" s="20" t="inlineStr">
        <is>
          <t>Clasificación: motivo</t>
        </is>
      </c>
      <c r="D751" s="20" t="inlineStr">
        <is>
          <t>CB</t>
        </is>
      </c>
      <c r="E751" s="20" t="n"/>
      <c r="F751" s="20" t="inlineStr">
        <is>
          <t>Órgano consultivo sin medios propios: su producto son informes y reuniones, que el P100 no cuenta como resultado.</t>
        </is>
      </c>
    </row>
    <row r="752">
      <c r="A752" s="20" t="n">
        <v>77</v>
      </c>
      <c r="B752" s="20" t="inlineStr">
        <is>
          <t>Observatorio Territorial de Andalucía</t>
        </is>
      </c>
      <c r="C752" s="20" t="inlineStr">
        <is>
          <t>Clasificación: base en el P100</t>
        </is>
      </c>
      <c r="D752" s="20" t="inlineStr">
        <is>
          <t>CC</t>
        </is>
      </c>
      <c r="E752" s="20" t="n"/>
      <c r="F752" s="20" t="inlineStr">
        <is>
          <t>Aplicando el criterio del P100: Costes del Estado 2 (aplicado a las CCAA)</t>
        </is>
      </c>
    </row>
    <row r="753">
      <c r="A753" s="20" t="n">
        <v>77</v>
      </c>
      <c r="B753" s="20" t="inlineStr">
        <is>
          <t>Observatorio Territorial de Andalucía</t>
        </is>
      </c>
      <c r="C753" s="20" t="inlineStr">
        <is>
          <t>Clasificación: destino de sus funciones</t>
        </is>
      </c>
      <c r="D753" s="20" t="inlineStr">
        <is>
          <t>CD</t>
        </is>
      </c>
      <c r="E753" s="20" t="n"/>
      <c r="F753" s="20" t="inlineStr">
        <is>
          <t>Consejería autonómica competente</t>
        </is>
      </c>
    </row>
    <row r="754">
      <c r="A754" s="20" t="n">
        <v>77</v>
      </c>
      <c r="B754" s="20" t="inlineStr">
        <is>
          <t>Observatorio Territorial de Andalucía</t>
        </is>
      </c>
      <c r="C754" s="20" t="inlineStr">
        <is>
          <t>Tema funcional</t>
        </is>
      </c>
      <c r="D754" s="20" t="inlineStr">
        <is>
          <t>CE</t>
        </is>
      </c>
      <c r="E754" s="20" t="n"/>
      <c r="F754" s="20" t="inlineStr">
        <is>
          <t>Territorio</t>
        </is>
      </c>
    </row>
    <row r="755">
      <c r="A755" s="20" t="n">
        <v>77</v>
      </c>
      <c r="B755" s="20" t="inlineStr">
        <is>
          <t>Observatorio Territorial de Andalucía</t>
        </is>
      </c>
      <c r="C755" s="20" t="inlineStr">
        <is>
          <t>Coste de apoyo (sin presupuesto propio): unidad, vocales y dietas</t>
        </is>
      </c>
      <c r="D755" s="20" t="inlineStr">
        <is>
          <t>CG</t>
        </is>
      </c>
      <c r="E755" s="20" t="n"/>
      <c r="F755" s="20" t="inlineStr">
        <is>
          <t>Apoyo: Secretaría General de Ordenación del Territorio, a través de la DG del Instituto de Cartografía de Andalucía: apoyo técnico y funciones de secretaría (art. 4 Orden 13/03/2007). miembros: dietas/indemnizaciones por asistencia (DA única Orden 13/03/2007: miembros ajenos a la Junta «podrán percibir indemnizaciones en concepto de dietas y gastos de desplazamientos», Decreto 54/1989).</t>
        </is>
      </c>
    </row>
    <row r="756">
      <c r="A756" s="20" t="n">
        <v>78</v>
      </c>
      <c r="B756" s="20" t="inlineStr">
        <is>
          <t>Agencia de Calidad y Prospectiva Universitaria de Aragón (ACPUA)</t>
        </is>
      </c>
      <c r="C756" s="20" t="inlineStr">
        <is>
          <t>Clasificación: útil / no útil</t>
        </is>
      </c>
      <c r="D756" s="20" t="inlineStr">
        <is>
          <t>BV</t>
        </is>
      </c>
      <c r="E756" s="20" t="n"/>
      <c r="F756" s="20" t="inlineStr">
        <is>
          <t>No útil</t>
        </is>
      </c>
    </row>
    <row r="757">
      <c r="A757" s="20" t="n">
        <v>78</v>
      </c>
      <c r="B757" s="20" t="inlineStr">
        <is>
          <t>Agencia de Calidad y Prospectiva Universitaria de Aragón (ACPUA)</t>
        </is>
      </c>
      <c r="C757" s="20" t="inlineStr">
        <is>
          <t>Clasificación: veredicto</t>
        </is>
      </c>
      <c r="D757" s="20" t="inlineStr">
        <is>
          <t>BW</t>
        </is>
      </c>
      <c r="E757" s="20" t="n"/>
      <c r="F757" s="20" t="inlineStr">
        <is>
          <t>Integrar</t>
        </is>
      </c>
    </row>
    <row r="758">
      <c r="A758" s="20" t="n">
        <v>78</v>
      </c>
      <c r="B758" s="20" t="inlineStr">
        <is>
          <t>Agencia de Calidad y Prospectiva Universitaria de Aragón (ACPUA)</t>
        </is>
      </c>
      <c r="C758" s="20" t="inlineStr">
        <is>
          <t>Clasificación: función</t>
        </is>
      </c>
      <c r="D758" s="20" t="inlineStr">
        <is>
          <t>BX</t>
        </is>
      </c>
      <c r="E758" s="20" t="n"/>
      <c r="F758" s="20" t="inlineStr">
        <is>
          <t>Control interno y cumplimiento</t>
        </is>
      </c>
    </row>
    <row r="759">
      <c r="A759" s="20" t="n">
        <v>78</v>
      </c>
      <c r="B759" s="20" t="inlineStr">
        <is>
          <t>Agencia de Calidad y Prospectiva Universitaria de Aragón (ACPUA)</t>
        </is>
      </c>
      <c r="C759" s="20" t="inlineStr">
        <is>
          <t>Clasificación: duplicidad</t>
        </is>
      </c>
      <c r="D759" s="20" t="inlineStr">
        <is>
          <t>BY</t>
        </is>
      </c>
      <c r="E759" s="20" t="n"/>
      <c r="F759" s="20" t="inlineStr">
        <is>
          <t>Duplica a ANECA, que ya cubre este territorio o puede hacerlo. 11 organismos sobre este tema entre el Estado y las CCAA (verificados).</t>
        </is>
      </c>
    </row>
    <row r="760">
      <c r="A760" s="20" t="n">
        <v>78</v>
      </c>
      <c r="B760" s="20" t="inlineStr">
        <is>
          <t>Agencia de Calidad y Prospectiva Universitaria de Aragón (ACPUA)</t>
        </is>
      </c>
      <c r="C760" s="20" t="inlineStr">
        <is>
          <t>Clasificación: exigida por la UE</t>
        </is>
      </c>
      <c r="D760" s="20" t="inlineStr">
        <is>
          <t>BZ</t>
        </is>
      </c>
      <c r="E760" s="20" t="n"/>
      <c r="F760" s="20" t="inlineStr">
        <is>
          <t>No</t>
        </is>
      </c>
    </row>
    <row r="761">
      <c r="A761" s="20" t="n">
        <v>78</v>
      </c>
      <c r="B761" s="20" t="inlineStr">
        <is>
          <t>Agencia de Calidad y Prospectiva Universitaria de Aragón (ACPUA)</t>
        </is>
      </c>
      <c r="C761" s="20" t="inlineStr">
        <is>
          <t>Clasificación: actividad reciente</t>
        </is>
      </c>
      <c r="D761" s="20" t="inlineStr">
        <is>
          <t>CA</t>
        </is>
      </c>
      <c r="E761" s="20" t="n"/>
      <c r="F761" s="20" t="inlineStr">
        <is>
          <t>Acreditada</t>
        </is>
      </c>
    </row>
    <row r="762">
      <c r="A762" s="20" t="n">
        <v>78</v>
      </c>
      <c r="B762" s="20" t="inlineStr">
        <is>
          <t>Agencia de Calidad y Prospectiva Universitaria de Aragón (ACPUA)</t>
        </is>
      </c>
      <c r="C762" s="20" t="inlineStr">
        <is>
          <t>Clasificación: motivo</t>
        </is>
      </c>
      <c r="D762" s="20" t="inlineStr">
        <is>
          <t>CB</t>
        </is>
      </c>
      <c r="E762" s="20" t="n"/>
      <c r="F762" s="20" t="inlineStr">
        <is>
          <t>Agencia autonómica de calidad universitaria; ANECA ya evalúa en las siete comunidades sin agencia propia.</t>
        </is>
      </c>
    </row>
    <row r="763">
      <c r="A763" s="20" t="n">
        <v>78</v>
      </c>
      <c r="B763" s="20" t="inlineStr">
        <is>
          <t>Agencia de Calidad y Prospectiva Universitaria de Aragón (ACPUA)</t>
        </is>
      </c>
      <c r="C763" s="20" t="inlineStr">
        <is>
          <t>Clasificación: base en el P100</t>
        </is>
      </c>
      <c r="D763" s="20" t="inlineStr">
        <is>
          <t>CC</t>
        </is>
      </c>
      <c r="E763" s="20" t="n"/>
      <c r="F763" s="20" t="inlineStr">
        <is>
          <t>Aplicando el criterio del P100: Criterio Extramuros del 12/10/2026</t>
        </is>
      </c>
    </row>
    <row r="764">
      <c r="A764" s="20" t="n">
        <v>78</v>
      </c>
      <c r="B764" s="20" t="inlineStr">
        <is>
          <t>Agencia de Calidad y Prospectiva Universitaria de Aragón (ACPUA)</t>
        </is>
      </c>
      <c r="C764" s="20" t="inlineStr">
        <is>
          <t>Clasificación: destino de sus funciones</t>
        </is>
      </c>
      <c r="D764" s="20" t="inlineStr">
        <is>
          <t>CD</t>
        </is>
      </c>
      <c r="E764" s="20" t="n"/>
      <c r="F764" s="20" t="inlineStr">
        <is>
          <t>Agencia Nacional de Evaluación de la Calidad y Acreditación (ANECA)</t>
        </is>
      </c>
    </row>
    <row r="765">
      <c r="A765" s="20" t="n">
        <v>78</v>
      </c>
      <c r="B765" s="20" t="inlineStr">
        <is>
          <t>Agencia de Calidad y Prospectiva Universitaria de Aragón (ACPUA)</t>
        </is>
      </c>
      <c r="C765" s="20" t="inlineStr">
        <is>
          <t>Tema funcional</t>
        </is>
      </c>
      <c r="D765" s="20" t="inlineStr">
        <is>
          <t>CE</t>
        </is>
      </c>
      <c r="E765" s="20" t="n"/>
      <c r="F765" s="20" t="inlineStr">
        <is>
          <t>Agencias de calidad universitaria</t>
        </is>
      </c>
    </row>
    <row r="766">
      <c r="A766" s="20" t="n">
        <v>78</v>
      </c>
      <c r="B766" s="20" t="inlineStr">
        <is>
          <t>Agencia de Calidad y Prospectiva Universitaria de Aragón (ACPUA)</t>
        </is>
      </c>
      <c r="C766" s="20" t="inlineStr">
        <is>
          <t>Organismos del mismo tema (Estado + CCAA, verificados)</t>
        </is>
      </c>
      <c r="D766" s="20" t="inlineStr">
        <is>
          <t>CF</t>
        </is>
      </c>
      <c r="E766" s="20" t="n"/>
      <c r="F766" s="20" t="n">
        <v>11</v>
      </c>
    </row>
    <row r="767">
      <c r="A767" s="20" t="n">
        <v>79</v>
      </c>
      <c r="B767" s="20" t="inlineStr">
        <is>
          <t>Servicio de Emergencias del Principado de Asturias (SEPA)</t>
        </is>
      </c>
      <c r="C767" s="20" t="inlineStr">
        <is>
          <t>Clasificación: útil / no útil</t>
        </is>
      </c>
      <c r="D767" s="20" t="inlineStr">
        <is>
          <t>BV</t>
        </is>
      </c>
      <c r="E767" s="20" t="n"/>
      <c r="F767" s="20" t="inlineStr">
        <is>
          <t>Útil</t>
        </is>
      </c>
    </row>
    <row r="768">
      <c r="A768" s="20" t="n">
        <v>79</v>
      </c>
      <c r="B768" s="20" t="inlineStr">
        <is>
          <t>Servicio de Emergencias del Principado de Asturias (SEPA)</t>
        </is>
      </c>
      <c r="C768" s="20" t="inlineStr">
        <is>
          <t>Clasificación: veredicto</t>
        </is>
      </c>
      <c r="D768" s="20" t="inlineStr">
        <is>
          <t>BW</t>
        </is>
      </c>
      <c r="E768" s="20" t="n"/>
      <c r="F768" s="20" t="inlineStr">
        <is>
          <t>Mantener</t>
        </is>
      </c>
    </row>
    <row r="769">
      <c r="A769" s="20" t="n">
        <v>79</v>
      </c>
      <c r="B769" s="20" t="inlineStr">
        <is>
          <t>Servicio de Emergencias del Principado de Asturias (SEPA)</t>
        </is>
      </c>
      <c r="C769" s="20" t="inlineStr">
        <is>
          <t>Clasificación: función</t>
        </is>
      </c>
      <c r="D769" s="20" t="inlineStr">
        <is>
          <t>BX</t>
        </is>
      </c>
      <c r="E769" s="20" t="n"/>
      <c r="F769" s="20" t="inlineStr">
        <is>
          <t>Servicio público directo</t>
        </is>
      </c>
    </row>
    <row r="770">
      <c r="A770" s="20" t="n">
        <v>79</v>
      </c>
      <c r="B770" s="20" t="inlineStr">
        <is>
          <t>Servicio de Emergencias del Principado de Asturias (SEPA)</t>
        </is>
      </c>
      <c r="C770" s="20" t="inlineStr">
        <is>
          <t>Clasificación: duplicidad</t>
        </is>
      </c>
      <c r="D770" s="20" t="inlineStr">
        <is>
          <t>BY</t>
        </is>
      </c>
      <c r="E770" s="20" t="n"/>
      <c r="F770" s="20" t="inlineStr">
        <is>
          <t>Competencia autonómica que el Estado no presta en ese territorio; la duplicidad es de forma (agencia propia o dirección general). 9 organismos sobre este tema entre el Estado y las CCAA (verificados).</t>
        </is>
      </c>
    </row>
    <row r="771">
      <c r="A771" s="20" t="n">
        <v>79</v>
      </c>
      <c r="B771" s="20" t="inlineStr">
        <is>
          <t>Servicio de Emergencias del Principado de Asturias (SEPA)</t>
        </is>
      </c>
      <c r="C771" s="20" t="inlineStr">
        <is>
          <t>Clasificación: exigida por la UE</t>
        </is>
      </c>
      <c r="D771" s="20" t="inlineStr">
        <is>
          <t>BZ</t>
        </is>
      </c>
      <c r="E771" s="20" t="n"/>
      <c r="F771" s="20" t="inlineStr">
        <is>
          <t>No</t>
        </is>
      </c>
    </row>
    <row r="772">
      <c r="A772" s="20" t="n">
        <v>79</v>
      </c>
      <c r="B772" s="20" t="inlineStr">
        <is>
          <t>Servicio de Emergencias del Principado de Asturias (SEPA)</t>
        </is>
      </c>
      <c r="C772" s="20" t="inlineStr">
        <is>
          <t>Clasificación: actividad reciente</t>
        </is>
      </c>
      <c r="D772" s="20" t="inlineStr">
        <is>
          <t>CA</t>
        </is>
      </c>
      <c r="E772" s="20" t="n"/>
      <c r="F772" s="20" t="inlineStr">
        <is>
          <t>Parcial</t>
        </is>
      </c>
    </row>
    <row r="773">
      <c r="A773" s="20" t="n">
        <v>79</v>
      </c>
      <c r="B773" s="20" t="inlineStr">
        <is>
          <t>Servicio de Emergencias del Principado de Asturias (SEPA)</t>
        </is>
      </c>
      <c r="C773" s="20" t="inlineStr">
        <is>
          <t>Clasificación: motivo</t>
        </is>
      </c>
      <c r="D773" s="20" t="inlineStr">
        <is>
          <t>CB</t>
        </is>
      </c>
      <c r="E773" s="20" t="n"/>
      <c r="F773" s="20"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row>
    <row r="774">
      <c r="A774" s="20" t="n">
        <v>79</v>
      </c>
      <c r="B774" s="20" t="inlineStr">
        <is>
          <t>Servicio de Emergencias del Principado de Asturias (SEPA)</t>
        </is>
      </c>
      <c r="C774" s="20" t="inlineStr">
        <is>
          <t>Clasificación: base en el P100</t>
        </is>
      </c>
      <c r="D774" s="20" t="inlineStr">
        <is>
          <t>CC</t>
        </is>
      </c>
      <c r="E774" s="20" t="n"/>
      <c r="F774" s="20" t="inlineStr">
        <is>
          <t>Aplicando el criterio del P100: Servicio directo que el Estado no presta</t>
        </is>
      </c>
    </row>
    <row r="775">
      <c r="A775" s="20" t="n">
        <v>79</v>
      </c>
      <c r="B775" s="20" t="inlineStr">
        <is>
          <t>Servicio de Emergencias del Principado de Asturias (SEPA)</t>
        </is>
      </c>
      <c r="C775" s="20" t="inlineStr">
        <is>
          <t>Tema funcional</t>
        </is>
      </c>
      <c r="D775" s="20" t="inlineStr">
        <is>
          <t>CE</t>
        </is>
      </c>
      <c r="E775" s="20" t="n"/>
      <c r="F775" s="20" t="inlineStr">
        <is>
          <t>Entes de emergencias 112</t>
        </is>
      </c>
    </row>
    <row r="776">
      <c r="A776" s="20" t="n">
        <v>79</v>
      </c>
      <c r="B776" s="20" t="inlineStr">
        <is>
          <t>Servicio de Emergencias del Principado de Asturias (SEPA)</t>
        </is>
      </c>
      <c r="C776" s="20" t="inlineStr">
        <is>
          <t>Organismos del mismo tema (Estado + CCAA, verificados)</t>
        </is>
      </c>
      <c r="D776" s="20" t="inlineStr">
        <is>
          <t>CF</t>
        </is>
      </c>
      <c r="E776" s="20" t="n"/>
      <c r="F776" s="20" t="n">
        <v>9</v>
      </c>
    </row>
    <row r="777">
      <c r="A777" s="20" t="n">
        <v>80</v>
      </c>
      <c r="B777" s="20" t="inlineStr">
        <is>
          <t>Agencia Tributaria de las Illes Balears (ATIB)</t>
        </is>
      </c>
      <c r="C777" s="20" t="inlineStr">
        <is>
          <t>Clasificación: útil / no útil</t>
        </is>
      </c>
      <c r="D777" s="20" t="inlineStr">
        <is>
          <t>BV</t>
        </is>
      </c>
      <c r="E777" s="20" t="n"/>
      <c r="F777" s="20" t="inlineStr">
        <is>
          <t>No útil</t>
        </is>
      </c>
    </row>
    <row r="778">
      <c r="A778" s="20" t="n">
        <v>80</v>
      </c>
      <c r="B778" s="20" t="inlineStr">
        <is>
          <t>Agencia Tributaria de las Illes Balears (ATIB)</t>
        </is>
      </c>
      <c r="C778" s="20" t="inlineStr">
        <is>
          <t>Clasificación: veredicto</t>
        </is>
      </c>
      <c r="D778" s="20" t="inlineStr">
        <is>
          <t>BW</t>
        </is>
      </c>
      <c r="E778" s="20" t="n"/>
      <c r="F778" s="20" t="inlineStr">
        <is>
          <t>Integrar</t>
        </is>
      </c>
    </row>
    <row r="779">
      <c r="A779" s="20" t="n">
        <v>80</v>
      </c>
      <c r="B779" s="20" t="inlineStr">
        <is>
          <t>Agencia Tributaria de las Illes Balears (ATIB)</t>
        </is>
      </c>
      <c r="C779" s="20" t="inlineStr">
        <is>
          <t>Clasificación: función</t>
        </is>
      </c>
      <c r="D779" s="20" t="inlineStr">
        <is>
          <t>BX</t>
        </is>
      </c>
      <c r="E779" s="20" t="n"/>
      <c r="F779" s="20" t="inlineStr">
        <is>
          <t>Servicio público directo</t>
        </is>
      </c>
    </row>
    <row r="780">
      <c r="A780" s="20" t="n">
        <v>80</v>
      </c>
      <c r="B780" s="20" t="inlineStr">
        <is>
          <t>Agencia Tributaria de las Illes Balears (ATIB)</t>
        </is>
      </c>
      <c r="C780" s="20" t="inlineStr">
        <is>
          <t>Clasificación: duplicidad</t>
        </is>
      </c>
      <c r="D780" s="20" t="inlineStr">
        <is>
          <t>BY</t>
        </is>
      </c>
      <c r="E780" s="20" t="n"/>
      <c r="F780" s="20" t="inlineStr">
        <is>
          <t>Competencia autonómica que el Estado no presta en ese territorio; la duplicidad es de forma (agencia propia o dirección general). 12 organismos sobre este tema entre el Estado y las CCAA (verificados).</t>
        </is>
      </c>
    </row>
    <row r="781">
      <c r="A781" s="20" t="n">
        <v>80</v>
      </c>
      <c r="B781" s="20" t="inlineStr">
        <is>
          <t>Agencia Tributaria de las Illes Balears (ATIB)</t>
        </is>
      </c>
      <c r="C781" s="20" t="inlineStr">
        <is>
          <t>Clasificación: exigida por la UE</t>
        </is>
      </c>
      <c r="D781" s="20" t="inlineStr">
        <is>
          <t>BZ</t>
        </is>
      </c>
      <c r="E781" s="20" t="n"/>
      <c r="F781" s="20" t="inlineStr">
        <is>
          <t>No</t>
        </is>
      </c>
    </row>
    <row r="782">
      <c r="A782" s="20" t="n">
        <v>80</v>
      </c>
      <c r="B782" s="20" t="inlineStr">
        <is>
          <t>Agencia Tributaria de las Illes Balears (ATIB)</t>
        </is>
      </c>
      <c r="C782" s="20" t="inlineStr">
        <is>
          <t>Clasificación: actividad reciente</t>
        </is>
      </c>
      <c r="D782" s="20" t="inlineStr">
        <is>
          <t>CA</t>
        </is>
      </c>
      <c r="E782" s="20" t="n"/>
      <c r="F782" s="20" t="inlineStr">
        <is>
          <t>Parcial</t>
        </is>
      </c>
    </row>
    <row r="783">
      <c r="A783" s="20" t="n">
        <v>80</v>
      </c>
      <c r="B783" s="20" t="inlineStr">
        <is>
          <t>Agencia Tributaria de las Illes Balears (ATIB)</t>
        </is>
      </c>
      <c r="C783" s="20" t="inlineStr">
        <is>
          <t>Clasificación: motivo</t>
        </is>
      </c>
      <c r="D783" s="20" t="inlineStr">
        <is>
          <t>CB</t>
        </is>
      </c>
      <c r="E783" s="20" t="n"/>
      <c r="F783" s="20" t="inlineStr">
        <is>
          <t>Gestiona tributos autonómicos y cedidos; el P100 quiere «una sola Agencia Tributaria» para todo el régimen común.</t>
        </is>
      </c>
    </row>
    <row r="784">
      <c r="A784" s="20" t="n">
        <v>80</v>
      </c>
      <c r="B784" s="20" t="inlineStr">
        <is>
          <t>Agencia Tributaria de las Illes Balears (ATIB)</t>
        </is>
      </c>
      <c r="C784" s="20" t="inlineStr">
        <is>
          <t>Clasificación: base en el P100</t>
        </is>
      </c>
      <c r="D784" s="20" t="inlineStr">
        <is>
          <t>CC</t>
        </is>
      </c>
      <c r="E784" s="20" t="n"/>
      <c r="F784" s="20" t="inlineStr">
        <is>
          <t>Explícito en el P100: Impuestos y financiación territorial 11</t>
        </is>
      </c>
    </row>
    <row r="785">
      <c r="A785" s="20" t="n">
        <v>80</v>
      </c>
      <c r="B785" s="20" t="inlineStr">
        <is>
          <t>Agencia Tributaria de las Illes Balears (ATIB)</t>
        </is>
      </c>
      <c r="C785" s="20" t="inlineStr">
        <is>
          <t>Clasificación: destino de sus funciones</t>
        </is>
      </c>
      <c r="D785" s="20" t="inlineStr">
        <is>
          <t>CD</t>
        </is>
      </c>
      <c r="E785" s="20" t="n"/>
      <c r="F785" s="20" t="inlineStr">
        <is>
          <t>Agencia Estatal de Administración Tributaria (AEAT)</t>
        </is>
      </c>
    </row>
    <row r="786">
      <c r="A786" s="20" t="n">
        <v>80</v>
      </c>
      <c r="B786" s="20" t="inlineStr">
        <is>
          <t>Agencia Tributaria de las Illes Balears (ATIB)</t>
        </is>
      </c>
      <c r="C786" s="20" t="inlineStr">
        <is>
          <t>Tema funcional</t>
        </is>
      </c>
      <c r="D786" s="20" t="inlineStr">
        <is>
          <t>CE</t>
        </is>
      </c>
      <c r="E786" s="20" t="n"/>
      <c r="F786" s="20" t="inlineStr">
        <is>
          <t>Agencias tributarias</t>
        </is>
      </c>
    </row>
    <row r="787">
      <c r="A787" s="20" t="n">
        <v>80</v>
      </c>
      <c r="B787" s="20" t="inlineStr">
        <is>
          <t>Agencia Tributaria de las Illes Balears (ATIB)</t>
        </is>
      </c>
      <c r="C787" s="20" t="inlineStr">
        <is>
          <t>Organismos del mismo tema (Estado + CCAA, verificados)</t>
        </is>
      </c>
      <c r="D787" s="20" t="inlineStr">
        <is>
          <t>CF</t>
        </is>
      </c>
      <c r="E787" s="20" t="n"/>
      <c r="F787" s="20" t="n">
        <v>12</v>
      </c>
    </row>
    <row r="788">
      <c r="A788" s="20" t="n">
        <v>81</v>
      </c>
      <c r="B788" s="20" t="inlineStr">
        <is>
          <t>Agencia Tributaria Canaria (ATC)</t>
        </is>
      </c>
      <c r="C788" s="20" t="inlineStr">
        <is>
          <t>Clasificación: útil / no útil</t>
        </is>
      </c>
      <c r="D788" s="20" t="inlineStr">
        <is>
          <t>BV</t>
        </is>
      </c>
      <c r="E788" s="20" t="n"/>
      <c r="F788" s="20" t="inlineStr">
        <is>
          <t>No útil</t>
        </is>
      </c>
    </row>
    <row r="789">
      <c r="A789" s="20" t="n">
        <v>81</v>
      </c>
      <c r="B789" s="20" t="inlineStr">
        <is>
          <t>Agencia Tributaria Canaria (ATC)</t>
        </is>
      </c>
      <c r="C789" s="20" t="inlineStr">
        <is>
          <t>Clasificación: veredicto</t>
        </is>
      </c>
      <c r="D789" s="20" t="inlineStr">
        <is>
          <t>BW</t>
        </is>
      </c>
      <c r="E789" s="20" t="n"/>
      <c r="F789" s="20" t="inlineStr">
        <is>
          <t>Integrar</t>
        </is>
      </c>
    </row>
    <row r="790">
      <c r="A790" s="20" t="n">
        <v>81</v>
      </c>
      <c r="B790" s="20" t="inlineStr">
        <is>
          <t>Agencia Tributaria Canaria (ATC)</t>
        </is>
      </c>
      <c r="C790" s="20" t="inlineStr">
        <is>
          <t>Clasificación: función</t>
        </is>
      </c>
      <c r="D790" s="20" t="inlineStr">
        <is>
          <t>BX</t>
        </is>
      </c>
      <c r="E790" s="20" t="n"/>
      <c r="F790" s="20" t="inlineStr">
        <is>
          <t>Servicio público directo</t>
        </is>
      </c>
    </row>
    <row r="791">
      <c r="A791" s="20" t="n">
        <v>81</v>
      </c>
      <c r="B791" s="20" t="inlineStr">
        <is>
          <t>Agencia Tributaria Canaria (ATC)</t>
        </is>
      </c>
      <c r="C791" s="20" t="inlineStr">
        <is>
          <t>Clasificación: duplicidad</t>
        </is>
      </c>
      <c r="D791" s="20" t="inlineStr">
        <is>
          <t>BY</t>
        </is>
      </c>
      <c r="E791" s="20" t="n"/>
      <c r="F791" s="20" t="inlineStr">
        <is>
          <t>Competencia autonómica que el Estado no presta en ese territorio; la duplicidad es de forma (agencia propia o dirección general). 12 organismos sobre este tema entre el Estado y las CCAA (verificados).</t>
        </is>
      </c>
    </row>
    <row r="792">
      <c r="A792" s="20" t="n">
        <v>81</v>
      </c>
      <c r="B792" s="20" t="inlineStr">
        <is>
          <t>Agencia Tributaria Canaria (ATC)</t>
        </is>
      </c>
      <c r="C792" s="20" t="inlineStr">
        <is>
          <t>Clasificación: exigida por la UE</t>
        </is>
      </c>
      <c r="D792" s="20" t="inlineStr">
        <is>
          <t>BZ</t>
        </is>
      </c>
      <c r="E792" s="20" t="n"/>
      <c r="F792" s="20" t="inlineStr">
        <is>
          <t>No</t>
        </is>
      </c>
    </row>
    <row r="793">
      <c r="A793" s="20" t="n">
        <v>81</v>
      </c>
      <c r="B793" s="20" t="inlineStr">
        <is>
          <t>Agencia Tributaria Canaria (ATC)</t>
        </is>
      </c>
      <c r="C793" s="20" t="inlineStr">
        <is>
          <t>Clasificación: actividad reciente</t>
        </is>
      </c>
      <c r="D793" s="20" t="inlineStr">
        <is>
          <t>CA</t>
        </is>
      </c>
      <c r="E793" s="20" t="n"/>
      <c r="F793" s="20" t="inlineStr">
        <is>
          <t>Acreditada</t>
        </is>
      </c>
    </row>
    <row r="794">
      <c r="A794" s="20" t="n">
        <v>81</v>
      </c>
      <c r="B794" s="20" t="inlineStr">
        <is>
          <t>Agencia Tributaria Canaria (ATC)</t>
        </is>
      </c>
      <c r="C794" s="20" t="inlineStr">
        <is>
          <t>Clasificación: motivo</t>
        </is>
      </c>
      <c r="D794" s="20" t="inlineStr">
        <is>
          <t>CB</t>
        </is>
      </c>
      <c r="E794" s="20" t="n"/>
      <c r="F794" s="20" t="inlineStr">
        <is>
          <t>Gestiona tributos autonómicos y cedidos; el P100 quiere «una sola Agencia Tributaria» para todo el régimen común.</t>
        </is>
      </c>
    </row>
    <row r="795">
      <c r="A795" s="20" t="n">
        <v>81</v>
      </c>
      <c r="B795" s="20" t="inlineStr">
        <is>
          <t>Agencia Tributaria Canaria (ATC)</t>
        </is>
      </c>
      <c r="C795" s="20" t="inlineStr">
        <is>
          <t>Clasificación: base en el P100</t>
        </is>
      </c>
      <c r="D795" s="20" t="inlineStr">
        <is>
          <t>CC</t>
        </is>
      </c>
      <c r="E795" s="20" t="n"/>
      <c r="F795" s="20" t="inlineStr">
        <is>
          <t>Explícito en el P100: Impuestos y financiación territorial 11</t>
        </is>
      </c>
    </row>
    <row r="796">
      <c r="A796" s="20" t="n">
        <v>81</v>
      </c>
      <c r="B796" s="20" t="inlineStr">
        <is>
          <t>Agencia Tributaria Canaria (ATC)</t>
        </is>
      </c>
      <c r="C796" s="20" t="inlineStr">
        <is>
          <t>Clasificación: destino de sus funciones</t>
        </is>
      </c>
      <c r="D796" s="20" t="inlineStr">
        <is>
          <t>CD</t>
        </is>
      </c>
      <c r="E796" s="20" t="n"/>
      <c r="F796" s="20" t="inlineStr">
        <is>
          <t>Agencia Estatal de Administración Tributaria (AEAT)</t>
        </is>
      </c>
    </row>
    <row r="797">
      <c r="A797" s="20" t="n">
        <v>81</v>
      </c>
      <c r="B797" s="20" t="inlineStr">
        <is>
          <t>Agencia Tributaria Canaria (ATC)</t>
        </is>
      </c>
      <c r="C797" s="20" t="inlineStr">
        <is>
          <t>Tema funcional</t>
        </is>
      </c>
      <c r="D797" s="20" t="inlineStr">
        <is>
          <t>CE</t>
        </is>
      </c>
      <c r="E797" s="20" t="n"/>
      <c r="F797" s="20" t="inlineStr">
        <is>
          <t>Agencias tributarias</t>
        </is>
      </c>
    </row>
    <row r="798">
      <c r="A798" s="20" t="n">
        <v>81</v>
      </c>
      <c r="B798" s="20" t="inlineStr">
        <is>
          <t>Agencia Tributaria Canaria (ATC)</t>
        </is>
      </c>
      <c r="C798" s="20" t="inlineStr">
        <is>
          <t>Organismos del mismo tema (Estado + CCAA, verificados)</t>
        </is>
      </c>
      <c r="D798" s="20" t="inlineStr">
        <is>
          <t>CF</t>
        </is>
      </c>
      <c r="E798" s="20" t="n"/>
      <c r="F798" s="20" t="n">
        <v>12</v>
      </c>
    </row>
    <row r="799">
      <c r="A799" s="20" t="n">
        <v>82</v>
      </c>
      <c r="B799" s="20" t="inlineStr">
        <is>
          <t>Instituto Cántabro de Servicios Sociales (ICASS)</t>
        </is>
      </c>
      <c r="C799" s="20" t="inlineStr">
        <is>
          <t>Clasificación: útil / no útil</t>
        </is>
      </c>
      <c r="D799" s="20" t="inlineStr">
        <is>
          <t>BV</t>
        </is>
      </c>
      <c r="E799" s="20" t="n"/>
      <c r="F799" s="20" t="inlineStr">
        <is>
          <t>Útil</t>
        </is>
      </c>
    </row>
    <row r="800">
      <c r="A800" s="20" t="n">
        <v>82</v>
      </c>
      <c r="B800" s="20" t="inlineStr">
        <is>
          <t>Instituto Cántabro de Servicios Sociales (ICASS)</t>
        </is>
      </c>
      <c r="C800" s="20" t="inlineStr">
        <is>
          <t>Clasificación: veredicto</t>
        </is>
      </c>
      <c r="D800" s="20" t="inlineStr">
        <is>
          <t>BW</t>
        </is>
      </c>
      <c r="E800" s="20" t="n"/>
      <c r="F800" s="20" t="inlineStr">
        <is>
          <t>Mantener</t>
        </is>
      </c>
    </row>
    <row r="801">
      <c r="A801" s="20" t="n">
        <v>82</v>
      </c>
      <c r="B801" s="20" t="inlineStr">
        <is>
          <t>Instituto Cántabro de Servicios Sociales (ICASS)</t>
        </is>
      </c>
      <c r="C801" s="20" t="inlineStr">
        <is>
          <t>Clasificación: función</t>
        </is>
      </c>
      <c r="D801" s="20" t="inlineStr">
        <is>
          <t>BX</t>
        </is>
      </c>
      <c r="E801" s="20" t="n"/>
      <c r="F801" s="20" t="inlineStr">
        <is>
          <t>Servicio público directo</t>
        </is>
      </c>
    </row>
    <row r="802">
      <c r="A802" s="20" t="n">
        <v>82</v>
      </c>
      <c r="B802" s="20" t="inlineStr">
        <is>
          <t>Instituto Cántabro de Servicios Sociales (ICASS)</t>
        </is>
      </c>
      <c r="C802" s="20" t="inlineStr">
        <is>
          <t>Clasificación: exigida por la UE</t>
        </is>
      </c>
      <c r="D802" s="20" t="inlineStr">
        <is>
          <t>BZ</t>
        </is>
      </c>
      <c r="E802" s="20" t="n"/>
      <c r="F802" s="20" t="inlineStr">
        <is>
          <t>No</t>
        </is>
      </c>
    </row>
    <row r="803">
      <c r="A803" s="20" t="n">
        <v>82</v>
      </c>
      <c r="B803" s="20" t="inlineStr">
        <is>
          <t>Instituto Cántabro de Servicios Sociales (ICASS)</t>
        </is>
      </c>
      <c r="C803" s="20" t="inlineStr">
        <is>
          <t>Clasificación: actividad reciente</t>
        </is>
      </c>
      <c r="D803" s="20" t="inlineStr">
        <is>
          <t>CA</t>
        </is>
      </c>
      <c r="E803" s="20" t="n"/>
      <c r="F803" s="20" t="inlineStr">
        <is>
          <t>Parcial</t>
        </is>
      </c>
    </row>
    <row r="804">
      <c r="A804" s="20" t="n">
        <v>82</v>
      </c>
      <c r="B804" s="20" t="inlineStr">
        <is>
          <t>Instituto Cántabro de Servicios Sociales (ICASS)</t>
        </is>
      </c>
      <c r="C804" s="20" t="inlineStr">
        <is>
          <t>Clasificación: motivo</t>
        </is>
      </c>
      <c r="D804" s="20" t="inlineStr">
        <is>
          <t>CB</t>
        </is>
      </c>
      <c r="E804" s="20" t="n"/>
      <c r="F804" s="20" t="inlineStr">
        <is>
          <t>Presta servicios sociales; el P100 fija reglas comunes, pero no vacía la competencia.</t>
        </is>
      </c>
    </row>
    <row r="805">
      <c r="A805" s="20" t="n">
        <v>82</v>
      </c>
      <c r="B805" s="20" t="inlineStr">
        <is>
          <t>Instituto Cántabro de Servicios Sociales (ICASS)</t>
        </is>
      </c>
      <c r="C805" s="20" t="inlineStr">
        <is>
          <t>Clasificación: base en el P100</t>
        </is>
      </c>
      <c r="D805" s="20" t="inlineStr">
        <is>
          <t>CC</t>
        </is>
      </c>
      <c r="E805" s="20" t="n"/>
      <c r="F805" s="20" t="inlineStr">
        <is>
          <t>Aplicando el criterio del P100: Servicio directo</t>
        </is>
      </c>
    </row>
    <row r="806">
      <c r="A806" s="20" t="n">
        <v>82</v>
      </c>
      <c r="B806" s="20" t="inlineStr">
        <is>
          <t>Instituto Cántabro de Servicios Sociales (ICASS)</t>
        </is>
      </c>
      <c r="C806" s="20" t="inlineStr">
        <is>
          <t>Tema funcional</t>
        </is>
      </c>
      <c r="D806" s="20" t="inlineStr">
        <is>
          <t>CE</t>
        </is>
      </c>
      <c r="E806" s="20" t="n"/>
      <c r="F806" s="20" t="inlineStr">
        <is>
          <t>Servicios sociales</t>
        </is>
      </c>
    </row>
    <row r="807">
      <c r="A807" s="20" t="n">
        <v>83</v>
      </c>
      <c r="B807" s="20" t="inlineStr">
        <is>
          <t>Instituto Cántabro de Seguridad y Salud en el Trabajo (ICASST)</t>
        </is>
      </c>
      <c r="C807" s="20" t="inlineStr">
        <is>
          <t>Clasificación: útil / no útil</t>
        </is>
      </c>
      <c r="D807" s="20" t="inlineStr">
        <is>
          <t>BV</t>
        </is>
      </c>
      <c r="E807" s="20" t="n"/>
      <c r="F807" s="20" t="inlineStr">
        <is>
          <t>No útil</t>
        </is>
      </c>
    </row>
    <row r="808">
      <c r="A808" s="20" t="n">
        <v>83</v>
      </c>
      <c r="B808" s="20" t="inlineStr">
        <is>
          <t>Instituto Cántabro de Seguridad y Salud en el Trabajo (ICASST)</t>
        </is>
      </c>
      <c r="C808" s="20" t="inlineStr">
        <is>
          <t>Clasificación: veredicto</t>
        </is>
      </c>
      <c r="D808" s="20" t="inlineStr">
        <is>
          <t>BW</t>
        </is>
      </c>
      <c r="E808" s="20" t="n"/>
      <c r="F808" s="20" t="inlineStr">
        <is>
          <t>Integrar</t>
        </is>
      </c>
    </row>
    <row r="809">
      <c r="A809" s="20" t="n">
        <v>83</v>
      </c>
      <c r="B809" s="20" t="inlineStr">
        <is>
          <t>Instituto Cántabro de Seguridad y Salud en el Trabajo (ICASST)</t>
        </is>
      </c>
      <c r="C809" s="20" t="inlineStr">
        <is>
          <t>Clasificación: función</t>
        </is>
      </c>
      <c r="D809" s="20" t="inlineStr">
        <is>
          <t>BX</t>
        </is>
      </c>
      <c r="E809" s="20" t="n"/>
      <c r="F809" s="20" t="inlineStr">
        <is>
          <t>Servicio público directo</t>
        </is>
      </c>
    </row>
    <row r="810">
      <c r="A810" s="20" t="n">
        <v>83</v>
      </c>
      <c r="B810" s="20" t="inlineStr">
        <is>
          <t>Instituto Cántabro de Seguridad y Salud en el Trabajo (ICASST)</t>
        </is>
      </c>
      <c r="C810" s="20" t="inlineStr">
        <is>
          <t>Clasificación: duplicidad</t>
        </is>
      </c>
      <c r="D810" s="20" t="inlineStr">
        <is>
          <t>BY</t>
        </is>
      </c>
      <c r="E810" s="20" t="n"/>
      <c r="F810" s="20" t="inlineStr">
        <is>
          <t>Paralelo a INSST: cada nivel actúa con sus propios fondos o competencias. 13 organismos sobre este tema entre el Estado y las CCAA (verificados).</t>
        </is>
      </c>
    </row>
    <row r="811">
      <c r="A811" s="20" t="n">
        <v>83</v>
      </c>
      <c r="B811" s="20" t="inlineStr">
        <is>
          <t>Instituto Cántabro de Seguridad y Salud en el Trabajo (ICASST)</t>
        </is>
      </c>
      <c r="C811" s="20" t="inlineStr">
        <is>
          <t>Clasificación: exigida por la UE</t>
        </is>
      </c>
      <c r="D811" s="20" t="inlineStr">
        <is>
          <t>BZ</t>
        </is>
      </c>
      <c r="E811" s="20" t="n"/>
      <c r="F811" s="20" t="inlineStr">
        <is>
          <t>No</t>
        </is>
      </c>
    </row>
    <row r="812">
      <c r="A812" s="20" t="n">
        <v>83</v>
      </c>
      <c r="B812" s="20" t="inlineStr">
        <is>
          <t>Instituto Cántabro de Seguridad y Salud en el Trabajo (ICASST)</t>
        </is>
      </c>
      <c r="C812" s="20" t="inlineStr">
        <is>
          <t>Clasificación: actividad reciente</t>
        </is>
      </c>
      <c r="D812" s="20" t="inlineStr">
        <is>
          <t>CA</t>
        </is>
      </c>
      <c r="E812" s="20" t="n"/>
      <c r="F812" s="20" t="inlineStr">
        <is>
          <t>Parcial</t>
        </is>
      </c>
    </row>
    <row r="813">
      <c r="A813" s="20" t="n">
        <v>83</v>
      </c>
      <c r="B813" s="20" t="inlineStr">
        <is>
          <t>Instituto Cántabro de Seguridad y Salud en el Trabajo (ICASST)</t>
        </is>
      </c>
      <c r="C813" s="20" t="inlineStr">
        <is>
          <t>Clasificación: motivo</t>
        </is>
      </c>
      <c r="D813" s="20" t="inlineStr">
        <is>
          <t>CB</t>
        </is>
      </c>
      <c r="E813" s="20" t="n"/>
      <c r="F813" s="20" t="inlineStr">
        <is>
          <t>Prevención de riesgos laborales: asistencia técnica que puede prestar la consejería.</t>
        </is>
      </c>
    </row>
    <row r="814">
      <c r="A814" s="20" t="n">
        <v>83</v>
      </c>
      <c r="B814" s="20" t="inlineStr">
        <is>
          <t>Instituto Cántabro de Seguridad y Salud en el Trabajo (ICASST)</t>
        </is>
      </c>
      <c r="C814" s="20" t="inlineStr">
        <is>
          <t>Clasificación: base en el P100</t>
        </is>
      </c>
      <c r="D814" s="20" t="inlineStr">
        <is>
          <t>CC</t>
        </is>
      </c>
      <c r="E814" s="20" t="n"/>
      <c r="F814" s="20" t="inlineStr">
        <is>
          <t>Aplicando el criterio del P100: Costes del Estado 9 (aplicado a las CCAA)</t>
        </is>
      </c>
    </row>
    <row r="815">
      <c r="A815" s="20" t="n">
        <v>83</v>
      </c>
      <c r="B815" s="20" t="inlineStr">
        <is>
          <t>Instituto Cántabro de Seguridad y Salud en el Trabajo (ICASST)</t>
        </is>
      </c>
      <c r="C815" s="20" t="inlineStr">
        <is>
          <t>Clasificación: destino de sus funciones</t>
        </is>
      </c>
      <c r="D815" s="20" t="inlineStr">
        <is>
          <t>CD</t>
        </is>
      </c>
      <c r="E815" s="20" t="n"/>
      <c r="F815" s="20" t="inlineStr">
        <is>
          <t>Consejería autonómica competente (con el Instituto Nacional de Seguridad y Salud en el Trabajo, INSST, como referencia técnica)</t>
        </is>
      </c>
    </row>
    <row r="816">
      <c r="A816" s="20" t="n">
        <v>83</v>
      </c>
      <c r="B816" s="20" t="inlineStr">
        <is>
          <t>Instituto Cántabro de Seguridad y Salud en el Trabajo (ICASST)</t>
        </is>
      </c>
      <c r="C816" s="20" t="inlineStr">
        <is>
          <t>Tema funcional</t>
        </is>
      </c>
      <c r="D816" s="20" t="inlineStr">
        <is>
          <t>CE</t>
        </is>
      </c>
      <c r="E816" s="20" t="n"/>
      <c r="F816" s="20" t="inlineStr">
        <is>
          <t>Institutos de seguridad y salud laboral</t>
        </is>
      </c>
    </row>
    <row r="817">
      <c r="A817" s="20" t="n">
        <v>83</v>
      </c>
      <c r="B817" s="20" t="inlineStr">
        <is>
          <t>Instituto Cántabro de Seguridad y Salud en el Trabajo (ICASST)</t>
        </is>
      </c>
      <c r="C817" s="20" t="inlineStr">
        <is>
          <t>Organismos del mismo tema (Estado + CCAA, verificados)</t>
        </is>
      </c>
      <c r="D817" s="20" t="inlineStr">
        <is>
          <t>CF</t>
        </is>
      </c>
      <c r="E817" s="20" t="n"/>
      <c r="F817" s="20" t="n">
        <v>13</v>
      </c>
    </row>
    <row r="818">
      <c r="A818" s="20" t="n">
        <v>84</v>
      </c>
      <c r="B818" s="20" t="inlineStr">
        <is>
          <t>Agencia del Agua de Castilla-La Mancha</t>
        </is>
      </c>
      <c r="C818" s="20" t="inlineStr">
        <is>
          <t>Clasificación: útil / no útil</t>
        </is>
      </c>
      <c r="D818" s="20" t="inlineStr">
        <is>
          <t>BV</t>
        </is>
      </c>
      <c r="E818" s="20" t="n"/>
      <c r="F818" s="20" t="inlineStr">
        <is>
          <t>Extinguida</t>
        </is>
      </c>
    </row>
    <row r="819">
      <c r="A819" s="20" t="n">
        <v>84</v>
      </c>
      <c r="B819" s="20" t="inlineStr">
        <is>
          <t>Agencia del Agua de Castilla-La Mancha</t>
        </is>
      </c>
      <c r="C819" s="20" t="inlineStr">
        <is>
          <t>Clasificación: veredicto</t>
        </is>
      </c>
      <c r="D819" s="20" t="inlineStr">
        <is>
          <t>BW</t>
        </is>
      </c>
      <c r="E819" s="20" t="n"/>
      <c r="F819" s="20" t="inlineStr">
        <is>
          <t>Extinguida</t>
        </is>
      </c>
    </row>
    <row r="820">
      <c r="A820" s="20" t="n">
        <v>84</v>
      </c>
      <c r="B820" s="20" t="inlineStr">
        <is>
          <t>Agencia del Agua de Castilla-La Mancha</t>
        </is>
      </c>
      <c r="C820" s="20" t="inlineStr">
        <is>
          <t>Clasificación: función</t>
        </is>
      </c>
      <c r="D820" s="20" t="inlineStr">
        <is>
          <t>BX</t>
        </is>
      </c>
      <c r="E820" s="20" t="n"/>
      <c r="F820" s="20" t="inlineStr">
        <is>
          <t>Extinguida o no constituida</t>
        </is>
      </c>
    </row>
    <row r="821">
      <c r="A821" s="20" t="n">
        <v>84</v>
      </c>
      <c r="B821" s="20" t="inlineStr">
        <is>
          <t>Agencia del Agua de Castilla-La Mancha</t>
        </is>
      </c>
      <c r="C821" s="20" t="inlineStr">
        <is>
          <t>Clasificación: exigida por la UE</t>
        </is>
      </c>
      <c r="D821" s="20" t="inlineStr">
        <is>
          <t>BZ</t>
        </is>
      </c>
      <c r="E821" s="20" t="n"/>
      <c r="F821" s="20" t="inlineStr">
        <is>
          <t>No</t>
        </is>
      </c>
    </row>
    <row r="822">
      <c r="A822" s="20" t="n">
        <v>84</v>
      </c>
      <c r="B822" s="20" t="inlineStr">
        <is>
          <t>Agencia del Agua de Castilla-La Mancha</t>
        </is>
      </c>
      <c r="C822" s="20" t="inlineStr">
        <is>
          <t>Clasificación: actividad reciente</t>
        </is>
      </c>
      <c r="D822" s="20" t="inlineStr">
        <is>
          <t>CA</t>
        </is>
      </c>
      <c r="E822" s="20" t="n"/>
      <c r="F822" s="20" t="inlineStr">
        <is>
          <t>No aplica (no vigente)</t>
        </is>
      </c>
    </row>
    <row r="823">
      <c r="A823" s="20" t="n">
        <v>84</v>
      </c>
      <c r="B823" s="20" t="inlineStr">
        <is>
          <t>Agencia del Agua de Castilla-La Mancha</t>
        </is>
      </c>
      <c r="C823" s="20" t="inlineStr">
        <is>
          <t>Clasificación: motivo</t>
        </is>
      </c>
      <c r="D823" s="20" t="inlineStr">
        <is>
          <t>CB</t>
        </is>
      </c>
      <c r="E823" s="20" t="n"/>
      <c r="F823" s="20" t="inlineStr">
        <is>
          <t>Suprimida por Ley 1/2026 de Castilla-La Mancha; funciones a la Consejería.</t>
        </is>
      </c>
    </row>
    <row r="824">
      <c r="A824" s="20" t="n">
        <v>84</v>
      </c>
      <c r="B824" s="20" t="inlineStr">
        <is>
          <t>Agencia del Agua de Castilla-La Mancha</t>
        </is>
      </c>
      <c r="C824" s="20" t="inlineStr">
        <is>
          <t>Tema funcional</t>
        </is>
      </c>
      <c r="D824" s="20" t="inlineStr">
        <is>
          <t>CE</t>
        </is>
      </c>
      <c r="E824" s="20" t="n"/>
      <c r="F824" s="20" t="inlineStr">
        <is>
          <t>Agua (autonómica)</t>
        </is>
      </c>
    </row>
    <row r="825">
      <c r="A825" s="20" t="n">
        <v>85</v>
      </c>
      <c r="B825" s="20" t="inlineStr">
        <is>
          <t>Observatorio para la Convivencia Escolar</t>
        </is>
      </c>
      <c r="C825" s="20" t="inlineStr">
        <is>
          <t>Fuentes de la ficha</t>
        </is>
      </c>
      <c r="D825" s="20" t="inlineStr">
        <is>
          <t>Z</t>
        </is>
      </c>
      <c r="E825" s="20" t="inlineStr">
        <is>
          <t>https://www.educa.jcyl.es/convivenciaescolar/es/observatorio-convivencia-escolar/antecedentes-observatorio-convivencia-escolar-castilla-leon</t>
        </is>
      </c>
      <c r="F825" s="20" t="inlineStr">
        <is>
          <t>https://www.educa.jcyl.es/convivenciaescolar/es/observatorio-convivencia-escolar/antecedentes-observatorio-convivencia-escolar-castilla-leon
https://sirdoc.ccyl.es/Biblioteca/Dosieres/DL203AtencionViolenciaGenero/pdfs/CyL-Decreto-52-2014-Observatorio.pdf</t>
        </is>
      </c>
    </row>
    <row r="826">
      <c r="A826" s="20" t="n">
        <v>85</v>
      </c>
      <c r="B826" s="20" t="inlineStr">
        <is>
          <t>Observatorio para la Convivencia Escolar</t>
        </is>
      </c>
      <c r="C826" s="20" t="inlineStr">
        <is>
          <t>Clasificación: útil / no útil</t>
        </is>
      </c>
      <c r="D826" s="20" t="inlineStr">
        <is>
          <t>BV</t>
        </is>
      </c>
      <c r="E826" s="20" t="n"/>
      <c r="F826" s="20" t="inlineStr">
        <is>
          <t>No útil</t>
        </is>
      </c>
    </row>
    <row r="827">
      <c r="A827" s="20" t="n">
        <v>85</v>
      </c>
      <c r="B827" s="20" t="inlineStr">
        <is>
          <t>Observatorio para la Convivencia Escolar</t>
        </is>
      </c>
      <c r="C827" s="20" t="inlineStr">
        <is>
          <t>Clasificación: veredicto</t>
        </is>
      </c>
      <c r="D827" s="20" t="inlineStr">
        <is>
          <t>BW</t>
        </is>
      </c>
      <c r="E827" s="20" t="n"/>
      <c r="F827" s="20" t="inlineStr">
        <is>
          <t>Suprimir</t>
        </is>
      </c>
    </row>
    <row r="828">
      <c r="A828" s="20" t="n">
        <v>85</v>
      </c>
      <c r="B828" s="20" t="inlineStr">
        <is>
          <t>Observatorio para la Convivencia Escolar</t>
        </is>
      </c>
      <c r="C828" s="20" t="inlineStr">
        <is>
          <t>Clasificación: función</t>
        </is>
      </c>
      <c r="D828" s="20" t="inlineStr">
        <is>
          <t>BX</t>
        </is>
      </c>
      <c r="E828" s="20" t="n"/>
      <c r="F828" s="20" t="inlineStr">
        <is>
          <t>Consultivo o participación</t>
        </is>
      </c>
    </row>
    <row r="829">
      <c r="A829" s="20" t="n">
        <v>85</v>
      </c>
      <c r="B829" s="20" t="inlineStr">
        <is>
          <t>Observatorio para la Convivencia Escolar</t>
        </is>
      </c>
      <c r="C829" s="20" t="inlineStr">
        <is>
          <t>Clasificación: duplicidad</t>
        </is>
      </c>
      <c r="D829" s="20" t="inlineStr">
        <is>
          <t>BY</t>
        </is>
      </c>
      <c r="E829" s="20" t="n"/>
      <c r="F829" s="20" t="inlineStr">
        <is>
          <t>Paralelo a Observatorio Estatal: cada nivel actúa con sus propios fondos o competencias. 15 organismos sobre este tema entre el Estado y las CCAA (verificados).</t>
        </is>
      </c>
    </row>
    <row r="830">
      <c r="A830" s="20" t="n">
        <v>85</v>
      </c>
      <c r="B830" s="20" t="inlineStr">
        <is>
          <t>Observatorio para la Convivencia Escolar</t>
        </is>
      </c>
      <c r="C830" s="20" t="inlineStr">
        <is>
          <t>Clasificación: exigida por la UE</t>
        </is>
      </c>
      <c r="D830" s="20" t="inlineStr">
        <is>
          <t>BZ</t>
        </is>
      </c>
      <c r="E830" s="20" t="n"/>
      <c r="F830" s="20" t="inlineStr">
        <is>
          <t>No</t>
        </is>
      </c>
    </row>
    <row r="831">
      <c r="A831" s="20" t="n">
        <v>85</v>
      </c>
      <c r="B831" s="20" t="inlineStr">
        <is>
          <t>Observatorio para la Convivencia Escolar</t>
        </is>
      </c>
      <c r="C831" s="20" t="inlineStr">
        <is>
          <t>Clasificación: actividad reciente</t>
        </is>
      </c>
      <c r="D831" s="20" t="inlineStr">
        <is>
          <t>CA</t>
        </is>
      </c>
      <c r="E831" s="20" t="n"/>
      <c r="F831" s="20" t="inlineStr">
        <is>
          <t>No acreditada</t>
        </is>
      </c>
    </row>
    <row r="832">
      <c r="A832" s="20" t="n">
        <v>85</v>
      </c>
      <c r="B832" s="20" t="inlineStr">
        <is>
          <t>Observatorio para la Convivencia Escolar</t>
        </is>
      </c>
      <c r="C832" s="20" t="inlineStr">
        <is>
          <t>Clasificación: motivo</t>
        </is>
      </c>
      <c r="D832" s="20" t="inlineStr">
        <is>
          <t>CB</t>
        </is>
      </c>
      <c r="E832" s="20" t="n"/>
      <c r="F832" s="20" t="inlineStr">
        <is>
          <t>Órgano consultivo sin medios propios: su producto son informes y reuniones, que el P100 no cuenta como resultado.</t>
        </is>
      </c>
    </row>
    <row r="833">
      <c r="A833" s="20" t="n">
        <v>85</v>
      </c>
      <c r="B833" s="20" t="inlineStr">
        <is>
          <t>Observatorio para la Convivencia Escolar</t>
        </is>
      </c>
      <c r="C833" s="20" t="inlineStr">
        <is>
          <t>Clasificación: base en el P100</t>
        </is>
      </c>
      <c r="D833" s="20" t="inlineStr">
        <is>
          <t>CC</t>
        </is>
      </c>
      <c r="E833" s="20" t="n"/>
      <c r="F833" s="20" t="inlineStr">
        <is>
          <t>Aplicando el criterio del P100: Costes del Estado 2 (aplicado a las CCAA)</t>
        </is>
      </c>
    </row>
    <row r="834">
      <c r="A834" s="20" t="n">
        <v>85</v>
      </c>
      <c r="B834" s="20" t="inlineStr">
        <is>
          <t>Observatorio para la Convivencia Escolar</t>
        </is>
      </c>
      <c r="C834" s="20" t="inlineStr">
        <is>
          <t>Clasificación: destino de sus funciones</t>
        </is>
      </c>
      <c r="D834" s="20" t="inlineStr">
        <is>
          <t>CD</t>
        </is>
      </c>
      <c r="E834" s="20" t="n"/>
      <c r="F834" s="20" t="inlineStr">
        <is>
          <t>Consejería autonómica competente</t>
        </is>
      </c>
    </row>
    <row r="835">
      <c r="A835" s="20" t="n">
        <v>85</v>
      </c>
      <c r="B835" s="20" t="inlineStr">
        <is>
          <t>Observatorio para la Convivencia Escolar</t>
        </is>
      </c>
      <c r="C835" s="20" t="inlineStr">
        <is>
          <t>Tema funcional</t>
        </is>
      </c>
      <c r="D835" s="20" t="inlineStr">
        <is>
          <t>CE</t>
        </is>
      </c>
      <c r="E835" s="20" t="n"/>
      <c r="F835" s="20" t="inlineStr">
        <is>
          <t>Observatorios de convivencia escolar</t>
        </is>
      </c>
    </row>
    <row r="836">
      <c r="A836" s="20" t="n">
        <v>85</v>
      </c>
      <c r="B836" s="20" t="inlineStr">
        <is>
          <t>Observatorio para la Convivencia Escolar</t>
        </is>
      </c>
      <c r="C836" s="20" t="inlineStr">
        <is>
          <t>Organismos del mismo tema (Estado + CCAA, verificados)</t>
        </is>
      </c>
      <c r="D836" s="20" t="inlineStr">
        <is>
          <t>CF</t>
        </is>
      </c>
      <c r="E836" s="20" t="n"/>
      <c r="F836" s="20" t="n">
        <v>15</v>
      </c>
    </row>
    <row r="837">
      <c r="A837" s="20" t="n">
        <v>85</v>
      </c>
      <c r="B837" s="20" t="inlineStr">
        <is>
          <t>Observatorio para la Convivencia Escolar</t>
        </is>
      </c>
      <c r="C837" s="20" t="inlineStr">
        <is>
          <t>Coste de apoyo (sin presupuesto propio): unidad, vocales y dietas</t>
        </is>
      </c>
      <c r="D837" s="20" t="inlineStr">
        <is>
          <t>CG</t>
        </is>
      </c>
      <c r="E837" s="20" t="n"/>
      <c r="F837" s="20" t="inlineStr">
        <is>
          <t>Apoyo: Consejería de la Presidencia de Castilla y León, «con cargo a sus medios personales y materiales» (art. 12 Decreto 52/2014); la secretaría de la sección de convivencia escolar es la del Comité permanente (art. 7.3), cuyo secretario es el titular del órgano directivo central con funciones de secretariado de la Junta (art. 4.3). miembros: no retribuidos (DA 1.ª Decreto 52/2014: no generan derecho a «ninguna cuantía económica» en concepto de «remuneración, dietas o indemnizaciones»).</t>
        </is>
      </c>
    </row>
    <row r="838">
      <c r="A838" s="20" t="n">
        <v>86</v>
      </c>
      <c r="B838" s="20" t="inlineStr">
        <is>
          <t>Agencia Tributaria de Cataluña</t>
        </is>
      </c>
      <c r="C838" s="20" t="inlineStr">
        <is>
          <t>Clasificación: útil / no útil</t>
        </is>
      </c>
      <c r="D838" s="20" t="inlineStr">
        <is>
          <t>BV</t>
        </is>
      </c>
      <c r="E838" s="20" t="n"/>
      <c r="F838" s="20" t="inlineStr">
        <is>
          <t>No útil</t>
        </is>
      </c>
    </row>
    <row r="839">
      <c r="A839" s="20" t="n">
        <v>86</v>
      </c>
      <c r="B839" s="20" t="inlineStr">
        <is>
          <t>Agencia Tributaria de Cataluña</t>
        </is>
      </c>
      <c r="C839" s="20" t="inlineStr">
        <is>
          <t>Clasificación: veredicto</t>
        </is>
      </c>
      <c r="D839" s="20" t="inlineStr">
        <is>
          <t>BW</t>
        </is>
      </c>
      <c r="E839" s="20" t="n"/>
      <c r="F839" s="20" t="inlineStr">
        <is>
          <t>Integrar</t>
        </is>
      </c>
    </row>
    <row r="840">
      <c r="A840" s="20" t="n">
        <v>86</v>
      </c>
      <c r="B840" s="20" t="inlineStr">
        <is>
          <t>Agencia Tributaria de Cataluña</t>
        </is>
      </c>
      <c r="C840" s="20" t="inlineStr">
        <is>
          <t>Clasificación: función</t>
        </is>
      </c>
      <c r="D840" s="20" t="inlineStr">
        <is>
          <t>BX</t>
        </is>
      </c>
      <c r="E840" s="20" t="n"/>
      <c r="F840" s="20" t="inlineStr">
        <is>
          <t>Servicio público directo</t>
        </is>
      </c>
    </row>
    <row r="841">
      <c r="A841" s="20" t="n">
        <v>86</v>
      </c>
      <c r="B841" s="20" t="inlineStr">
        <is>
          <t>Agencia Tributaria de Cataluña</t>
        </is>
      </c>
      <c r="C841" s="20" t="inlineStr">
        <is>
          <t>Clasificación: duplicidad</t>
        </is>
      </c>
      <c r="D841" s="20" t="inlineStr">
        <is>
          <t>BY</t>
        </is>
      </c>
      <c r="E841" s="20" t="n"/>
      <c r="F841" s="20" t="inlineStr">
        <is>
          <t>Competencia autonómica que el Estado no presta en ese territorio; la duplicidad es de forma (agencia propia o dirección general). 12 organismos sobre este tema entre el Estado y las CCAA (verificados).</t>
        </is>
      </c>
    </row>
    <row r="842">
      <c r="A842" s="20" t="n">
        <v>86</v>
      </c>
      <c r="B842" s="20" t="inlineStr">
        <is>
          <t>Agencia Tributaria de Cataluña</t>
        </is>
      </c>
      <c r="C842" s="20" t="inlineStr">
        <is>
          <t>Clasificación: exigida por la UE</t>
        </is>
      </c>
      <c r="D842" s="20" t="inlineStr">
        <is>
          <t>BZ</t>
        </is>
      </c>
      <c r="E842" s="20" t="n"/>
      <c r="F842" s="20" t="inlineStr">
        <is>
          <t>No</t>
        </is>
      </c>
    </row>
    <row r="843">
      <c r="A843" s="20" t="n">
        <v>86</v>
      </c>
      <c r="B843" s="20" t="inlineStr">
        <is>
          <t>Agencia Tributaria de Cataluña</t>
        </is>
      </c>
      <c r="C843" s="20" t="inlineStr">
        <is>
          <t>Clasificación: actividad reciente</t>
        </is>
      </c>
      <c r="D843" s="20" t="inlineStr">
        <is>
          <t>CA</t>
        </is>
      </c>
      <c r="E843" s="20" t="n"/>
      <c r="F843" s="20" t="inlineStr">
        <is>
          <t>Parcial</t>
        </is>
      </c>
    </row>
    <row r="844">
      <c r="A844" s="20" t="n">
        <v>86</v>
      </c>
      <c r="B844" s="20" t="inlineStr">
        <is>
          <t>Agencia Tributaria de Cataluña</t>
        </is>
      </c>
      <c r="C844" s="20" t="inlineStr">
        <is>
          <t>Clasificación: motivo</t>
        </is>
      </c>
      <c r="D844" s="20" t="inlineStr">
        <is>
          <t>CB</t>
        </is>
      </c>
      <c r="E844" s="20" t="n"/>
      <c r="F844" s="20" t="inlineStr">
        <is>
          <t>Gestiona tributos autonómicos y cedidos; el P100 quiere «una sola Agencia Tributaria» para todo el régimen común.</t>
        </is>
      </c>
    </row>
    <row r="845">
      <c r="A845" s="20" t="n">
        <v>86</v>
      </c>
      <c r="B845" s="20" t="inlineStr">
        <is>
          <t>Agencia Tributaria de Cataluña</t>
        </is>
      </c>
      <c r="C845" s="20" t="inlineStr">
        <is>
          <t>Clasificación: base en el P100</t>
        </is>
      </c>
      <c r="D845" s="20" t="inlineStr">
        <is>
          <t>CC</t>
        </is>
      </c>
      <c r="E845" s="20" t="n"/>
      <c r="F845" s="20" t="inlineStr">
        <is>
          <t>Explícito en el P100: Impuestos y financiación territorial 11</t>
        </is>
      </c>
    </row>
    <row r="846">
      <c r="A846" s="20" t="n">
        <v>86</v>
      </c>
      <c r="B846" s="20" t="inlineStr">
        <is>
          <t>Agencia Tributaria de Cataluña</t>
        </is>
      </c>
      <c r="C846" s="20" t="inlineStr">
        <is>
          <t>Clasificación: destino de sus funciones</t>
        </is>
      </c>
      <c r="D846" s="20" t="inlineStr">
        <is>
          <t>CD</t>
        </is>
      </c>
      <c r="E846" s="20" t="n"/>
      <c r="F846" s="20" t="inlineStr">
        <is>
          <t>Agencia Estatal de Administración Tributaria (AEAT)</t>
        </is>
      </c>
    </row>
    <row r="847">
      <c r="A847" s="20" t="n">
        <v>86</v>
      </c>
      <c r="B847" s="20" t="inlineStr">
        <is>
          <t>Agencia Tributaria de Cataluña</t>
        </is>
      </c>
      <c r="C847" s="20" t="inlineStr">
        <is>
          <t>Tema funcional</t>
        </is>
      </c>
      <c r="D847" s="20" t="inlineStr">
        <is>
          <t>CE</t>
        </is>
      </c>
      <c r="E847" s="20" t="n"/>
      <c r="F847" s="20" t="inlineStr">
        <is>
          <t>Agencias tributarias</t>
        </is>
      </c>
    </row>
    <row r="848">
      <c r="A848" s="20" t="n">
        <v>86</v>
      </c>
      <c r="B848" s="20" t="inlineStr">
        <is>
          <t>Agencia Tributaria de Cataluña</t>
        </is>
      </c>
      <c r="C848" s="20" t="inlineStr">
        <is>
          <t>Organismos del mismo tema (Estado + CCAA, verificados)</t>
        </is>
      </c>
      <c r="D848" s="20" t="inlineStr">
        <is>
          <t>CF</t>
        </is>
      </c>
      <c r="E848" s="20" t="n"/>
      <c r="F848" s="20" t="n">
        <v>12</v>
      </c>
    </row>
    <row r="849">
      <c r="A849" s="20" t="n">
        <v>87</v>
      </c>
      <c r="B849" s="20" t="inlineStr">
        <is>
          <t>Oficina Antifraude de Cataluña</t>
        </is>
      </c>
      <c r="C849" s="20" t="inlineStr">
        <is>
          <t>Clasificación: útil / no útil</t>
        </is>
      </c>
      <c r="D849" s="20" t="inlineStr">
        <is>
          <t>BV</t>
        </is>
      </c>
      <c r="E849" s="20" t="n"/>
      <c r="F849" s="20" t="inlineStr">
        <is>
          <t>No útil</t>
        </is>
      </c>
    </row>
    <row r="850">
      <c r="A850" s="20" t="n">
        <v>87</v>
      </c>
      <c r="B850" s="20" t="inlineStr">
        <is>
          <t>Oficina Antifraude de Cataluña</t>
        </is>
      </c>
      <c r="C850" s="20" t="inlineStr">
        <is>
          <t>Clasificación: veredicto</t>
        </is>
      </c>
      <c r="D850" s="20" t="inlineStr">
        <is>
          <t>BW</t>
        </is>
      </c>
      <c r="E850" s="20" t="n"/>
      <c r="F850" s="20" t="inlineStr">
        <is>
          <t>Integrar</t>
        </is>
      </c>
    </row>
    <row r="851">
      <c r="A851" s="20" t="n">
        <v>87</v>
      </c>
      <c r="B851" s="20" t="inlineStr">
        <is>
          <t>Oficina Antifraude de Cataluña</t>
        </is>
      </c>
      <c r="C851" s="20" t="inlineStr">
        <is>
          <t>Clasificación: función</t>
        </is>
      </c>
      <c r="D851" s="20" t="inlineStr">
        <is>
          <t>BX</t>
        </is>
      </c>
      <c r="E851" s="20" t="n"/>
      <c r="F851" s="20" t="inlineStr">
        <is>
          <t>Control interno y cumplimiento</t>
        </is>
      </c>
    </row>
    <row r="852">
      <c r="A852" s="20" t="n">
        <v>87</v>
      </c>
      <c r="B852" s="20" t="inlineStr">
        <is>
          <t>Oficina Antifraude de Cataluña</t>
        </is>
      </c>
      <c r="C852" s="20" t="inlineStr">
        <is>
          <t>Clasificación: duplicidad</t>
        </is>
      </c>
      <c r="D852" s="20" t="inlineStr">
        <is>
          <t>BY</t>
        </is>
      </c>
      <c r="E852" s="20" t="n"/>
      <c r="F852" s="20" t="inlineStr">
        <is>
          <t>Paralelo a AIPI: cada nivel actúa con sus propios fondos o competencias. 10 organismos sobre este tema entre el Estado y las CCAA (verificados).</t>
        </is>
      </c>
    </row>
    <row r="853">
      <c r="A853" s="20" t="n">
        <v>87</v>
      </c>
      <c r="B853" s="20" t="inlineStr">
        <is>
          <t>Oficina Antifraude de Cataluña</t>
        </is>
      </c>
      <c r="C853" s="20" t="inlineStr">
        <is>
          <t>Clasificación: exigida por la UE</t>
        </is>
      </c>
      <c r="D853" s="20" t="inlineStr">
        <is>
          <t>BZ</t>
        </is>
      </c>
      <c r="E853" s="20" t="n"/>
      <c r="F853" s="20" t="inlineStr">
        <is>
          <t>No</t>
        </is>
      </c>
    </row>
    <row r="854">
      <c r="A854" s="20" t="n">
        <v>87</v>
      </c>
      <c r="B854" s="20" t="inlineStr">
        <is>
          <t>Oficina Antifraude de Cataluña</t>
        </is>
      </c>
      <c r="C854" s="20" t="inlineStr">
        <is>
          <t>Clasificación: actividad reciente</t>
        </is>
      </c>
      <c r="D854" s="20" t="inlineStr">
        <is>
          <t>CA</t>
        </is>
      </c>
      <c r="E854" s="20" t="n"/>
      <c r="F854" s="20" t="inlineStr">
        <is>
          <t>Parcial</t>
        </is>
      </c>
    </row>
    <row r="855">
      <c r="A855" s="20" t="n">
        <v>87</v>
      </c>
      <c r="B855" s="20" t="inlineStr">
        <is>
          <t>Oficina Antifraude de Cataluña</t>
        </is>
      </c>
      <c r="C855" s="20" t="inlineStr">
        <is>
          <t>Clasificación: motivo</t>
        </is>
      </c>
      <c r="D855" s="20" t="inlineStr">
        <is>
          <t>CB</t>
        </is>
      </c>
      <c r="E855" s="20" t="n"/>
      <c r="F855" s="20" t="inlineStr">
        <is>
          <t>Oficina antifraude autonómica: investiga irregularidades que también ven el órgano de control externo y la Fiscalía.</t>
        </is>
      </c>
    </row>
    <row r="856">
      <c r="A856" s="20" t="n">
        <v>87</v>
      </c>
      <c r="B856" s="20" t="inlineStr">
        <is>
          <t>Oficina Antifraude de Cataluña</t>
        </is>
      </c>
      <c r="C856" s="20" t="inlineStr">
        <is>
          <t>Clasificación: base en el P100</t>
        </is>
      </c>
      <c r="D856" s="20" t="inlineStr">
        <is>
          <t>CC</t>
        </is>
      </c>
      <c r="E856" s="20" t="n"/>
      <c r="F856" s="20" t="inlineStr">
        <is>
          <t>Aplicando el criterio del P100: Criterio Extramuros del 12/10/2026</t>
        </is>
      </c>
    </row>
    <row r="857">
      <c r="A857" s="20" t="n">
        <v>87</v>
      </c>
      <c r="B857" s="20" t="inlineStr">
        <is>
          <t>Oficina Antifraude de Cataluña</t>
        </is>
      </c>
      <c r="C857" s="20" t="inlineStr">
        <is>
          <t>Clasificación: destino de sus funciones</t>
        </is>
      </c>
      <c r="D857" s="20" t="inlineStr">
        <is>
          <t>CD</t>
        </is>
      </c>
      <c r="E857" s="20" t="n"/>
      <c r="F857" s="20" t="inlineStr">
        <is>
          <t>Cámara o Sindicatura de Cuentas de la comunidad autónoma; para denuncias, Autoridad Independiente de Protección del Informante (AIPI) por convenio</t>
        </is>
      </c>
    </row>
    <row r="858">
      <c r="A858" s="20" t="n">
        <v>87</v>
      </c>
      <c r="B858" s="20" t="inlineStr">
        <is>
          <t>Oficina Antifraude de Cataluña</t>
        </is>
      </c>
      <c r="C858" s="20" t="inlineStr">
        <is>
          <t>Tema funcional</t>
        </is>
      </c>
      <c r="D858" s="20" t="inlineStr">
        <is>
          <t>CE</t>
        </is>
      </c>
      <c r="E858" s="20" t="n"/>
      <c r="F858" s="20" t="inlineStr">
        <is>
          <t>Oficinas y agencias antifraude y de protección del informante</t>
        </is>
      </c>
    </row>
    <row r="859">
      <c r="A859" s="20" t="n">
        <v>87</v>
      </c>
      <c r="B859" s="20" t="inlineStr">
        <is>
          <t>Oficina Antifraude de Cataluña</t>
        </is>
      </c>
      <c r="C859" s="20" t="inlineStr">
        <is>
          <t>Organismos del mismo tema (Estado + CCAA, verificados)</t>
        </is>
      </c>
      <c r="D859" s="20" t="inlineStr">
        <is>
          <t>CF</t>
        </is>
      </c>
      <c r="E859" s="20" t="n"/>
      <c r="F859" s="20" t="n">
        <v>10</v>
      </c>
    </row>
    <row r="860">
      <c r="A860" s="20" t="n">
        <v>88</v>
      </c>
      <c r="B860" s="20" t="inlineStr">
        <is>
          <t>Observatorio para la Convivencia Escolar</t>
        </is>
      </c>
      <c r="C860" s="20" t="inlineStr">
        <is>
          <t>Fuentes de la ficha</t>
        </is>
      </c>
      <c r="D860" s="20" t="inlineStr">
        <is>
          <t>Z</t>
        </is>
      </c>
      <c r="E860" s="20" t="inlineStr">
        <is>
          <t>https://recursos.educarex.es/pdf/normativa-sg/Decreto_28-2007.pdf</t>
        </is>
      </c>
      <c r="F860" s="20" t="inlineStr">
        <is>
          <t>https://recursos.educarex.es/pdf/normativa-sg/Decreto_28-2007.pdf
https://doe.juntaex.es/pdfs/doe/2024/2400o/24050192.pdf</t>
        </is>
      </c>
    </row>
    <row r="861">
      <c r="A861" s="20" t="n">
        <v>88</v>
      </c>
      <c r="B861" s="20" t="inlineStr">
        <is>
          <t>Observatorio para la Convivencia Escolar</t>
        </is>
      </c>
      <c r="C861" s="20" t="inlineStr">
        <is>
          <t>Clasificación: útil / no útil</t>
        </is>
      </c>
      <c r="D861" s="20" t="inlineStr">
        <is>
          <t>BV</t>
        </is>
      </c>
      <c r="E861" s="20" t="n"/>
      <c r="F861" s="20" t="inlineStr">
        <is>
          <t>No útil</t>
        </is>
      </c>
    </row>
    <row r="862">
      <c r="A862" s="20" t="n">
        <v>88</v>
      </c>
      <c r="B862" s="20" t="inlineStr">
        <is>
          <t>Observatorio para la Convivencia Escolar</t>
        </is>
      </c>
      <c r="C862" s="20" t="inlineStr">
        <is>
          <t>Clasificación: veredicto</t>
        </is>
      </c>
      <c r="D862" s="20" t="inlineStr">
        <is>
          <t>BW</t>
        </is>
      </c>
      <c r="E862" s="20" t="n"/>
      <c r="F862" s="20" t="inlineStr">
        <is>
          <t>Suprimir</t>
        </is>
      </c>
    </row>
    <row r="863">
      <c r="A863" s="20" t="n">
        <v>88</v>
      </c>
      <c r="B863" s="20" t="inlineStr">
        <is>
          <t>Observatorio para la Convivencia Escolar</t>
        </is>
      </c>
      <c r="C863" s="20" t="inlineStr">
        <is>
          <t>Clasificación: función</t>
        </is>
      </c>
      <c r="D863" s="20" t="inlineStr">
        <is>
          <t>BX</t>
        </is>
      </c>
      <c r="E863" s="20" t="n"/>
      <c r="F863" s="20" t="inlineStr">
        <is>
          <t>Consultivo o participación</t>
        </is>
      </c>
    </row>
    <row r="864">
      <c r="A864" s="20" t="n">
        <v>88</v>
      </c>
      <c r="B864" s="20" t="inlineStr">
        <is>
          <t>Observatorio para la Convivencia Escolar</t>
        </is>
      </c>
      <c r="C864" s="20" t="inlineStr">
        <is>
          <t>Clasificación: duplicidad</t>
        </is>
      </c>
      <c r="D864" s="20" t="inlineStr">
        <is>
          <t>BY</t>
        </is>
      </c>
      <c r="E864" s="20" t="n"/>
      <c r="F864" s="20" t="inlineStr">
        <is>
          <t>Paralelo a Observatorio Estatal: cada nivel actúa con sus propios fondos o competencias. 15 organismos sobre este tema entre el Estado y las CCAA (verificados).</t>
        </is>
      </c>
    </row>
    <row r="865">
      <c r="A865" s="20" t="n">
        <v>88</v>
      </c>
      <c r="B865" s="20" t="inlineStr">
        <is>
          <t>Observatorio para la Convivencia Escolar</t>
        </is>
      </c>
      <c r="C865" s="20" t="inlineStr">
        <is>
          <t>Clasificación: exigida por la UE</t>
        </is>
      </c>
      <c r="D865" s="20" t="inlineStr">
        <is>
          <t>BZ</t>
        </is>
      </c>
      <c r="E865" s="20" t="n"/>
      <c r="F865" s="20" t="inlineStr">
        <is>
          <t>No</t>
        </is>
      </c>
    </row>
    <row r="866">
      <c r="A866" s="20" t="n">
        <v>88</v>
      </c>
      <c r="B866" s="20" t="inlineStr">
        <is>
          <t>Observatorio para la Convivencia Escolar</t>
        </is>
      </c>
      <c r="C866" s="20" t="inlineStr">
        <is>
          <t>Clasificación: actividad reciente</t>
        </is>
      </c>
      <c r="D866" s="20" t="inlineStr">
        <is>
          <t>CA</t>
        </is>
      </c>
      <c r="E866" s="20" t="n"/>
      <c r="F866" s="20" t="inlineStr">
        <is>
          <t>Parcial</t>
        </is>
      </c>
    </row>
    <row r="867">
      <c r="A867" s="20" t="n">
        <v>88</v>
      </c>
      <c r="B867" s="20" t="inlineStr">
        <is>
          <t>Observatorio para la Convivencia Escolar</t>
        </is>
      </c>
      <c r="C867" s="20" t="inlineStr">
        <is>
          <t>Clasificación: motivo</t>
        </is>
      </c>
      <c r="D867" s="20" t="inlineStr">
        <is>
          <t>CB</t>
        </is>
      </c>
      <c r="E867" s="20" t="n"/>
      <c r="F867" s="20" t="inlineStr">
        <is>
          <t>Órgano consultivo sin medios propios: su producto son informes y reuniones, que el P100 no cuenta como resultado.</t>
        </is>
      </c>
    </row>
    <row r="868">
      <c r="A868" s="20" t="n">
        <v>88</v>
      </c>
      <c r="B868" s="20" t="inlineStr">
        <is>
          <t>Observatorio para la Convivencia Escolar</t>
        </is>
      </c>
      <c r="C868" s="20" t="inlineStr">
        <is>
          <t>Clasificación: base en el P100</t>
        </is>
      </c>
      <c r="D868" s="20" t="inlineStr">
        <is>
          <t>CC</t>
        </is>
      </c>
      <c r="E868" s="20" t="n"/>
      <c r="F868" s="20" t="inlineStr">
        <is>
          <t>Aplicando el criterio del P100: Costes del Estado 2 (aplicado a las CCAA)</t>
        </is>
      </c>
    </row>
    <row r="869">
      <c r="A869" s="20" t="n">
        <v>88</v>
      </c>
      <c r="B869" s="20" t="inlineStr">
        <is>
          <t>Observatorio para la Convivencia Escolar</t>
        </is>
      </c>
      <c r="C869" s="20" t="inlineStr">
        <is>
          <t>Clasificación: destino de sus funciones</t>
        </is>
      </c>
      <c r="D869" s="20" t="inlineStr">
        <is>
          <t>CD</t>
        </is>
      </c>
      <c r="E869" s="20" t="n"/>
      <c r="F869" s="20" t="inlineStr">
        <is>
          <t>Consejería autonómica competente</t>
        </is>
      </c>
    </row>
    <row r="870">
      <c r="A870" s="20" t="n">
        <v>88</v>
      </c>
      <c r="B870" s="20" t="inlineStr">
        <is>
          <t>Observatorio para la Convivencia Escolar</t>
        </is>
      </c>
      <c r="C870" s="20" t="inlineStr">
        <is>
          <t>Tema funcional</t>
        </is>
      </c>
      <c r="D870" s="20" t="inlineStr">
        <is>
          <t>CE</t>
        </is>
      </c>
      <c r="E870" s="20" t="n"/>
      <c r="F870" s="20" t="inlineStr">
        <is>
          <t>Observatorios de convivencia escolar</t>
        </is>
      </c>
    </row>
    <row r="871">
      <c r="A871" s="20" t="n">
        <v>88</v>
      </c>
      <c r="B871" s="20" t="inlineStr">
        <is>
          <t>Observatorio para la Convivencia Escolar</t>
        </is>
      </c>
      <c r="C871" s="20" t="inlineStr">
        <is>
          <t>Organismos del mismo tema (Estado + CCAA, verificados)</t>
        </is>
      </c>
      <c r="D871" s="20" t="inlineStr">
        <is>
          <t>CF</t>
        </is>
      </c>
      <c r="E871" s="20" t="n"/>
      <c r="F871" s="20" t="n">
        <v>15</v>
      </c>
    </row>
    <row r="872">
      <c r="A872" s="20" t="n">
        <v>88</v>
      </c>
      <c r="B872" s="20" t="inlineStr">
        <is>
          <t>Observatorio para la Convivencia Escolar</t>
        </is>
      </c>
      <c r="C872" s="20" t="inlineStr">
        <is>
          <t>Coste de apoyo (sin presupuesto propio): unidad, vocales y dietas</t>
        </is>
      </c>
      <c r="D872" s="20" t="inlineStr">
        <is>
          <t>CG</t>
        </is>
      </c>
      <c r="E872" s="20" t="n"/>
      <c r="F872" s="20" t="inlineStr">
        <is>
          <t>Apoyo: Según el Decreto 190/2007, art. 3.3, se relaciona con la Consejería de Educación a través de la DG de Política Educativa; no se ha verificado la unidad actual de secretaría.</t>
        </is>
      </c>
    </row>
    <row r="873">
      <c r="A873" s="20" t="n">
        <v>89</v>
      </c>
      <c r="B873" s="20" t="inlineStr">
        <is>
          <t>Agencia Gallega de Innovación (GAIN)</t>
        </is>
      </c>
      <c r="C873" s="20" t="inlineStr">
        <is>
          <t>Clasificación: útil / no útil</t>
        </is>
      </c>
      <c r="D873" s="20" t="inlineStr">
        <is>
          <t>BV</t>
        </is>
      </c>
      <c r="E873" s="20" t="n"/>
      <c r="F873" s="20" t="inlineStr">
        <is>
          <t>No útil</t>
        </is>
      </c>
    </row>
    <row r="874">
      <c r="A874" s="20" t="n">
        <v>89</v>
      </c>
      <c r="B874" s="20" t="inlineStr">
        <is>
          <t>Agencia Gallega de Innovación (GAIN)</t>
        </is>
      </c>
      <c r="C874" s="20" t="inlineStr">
        <is>
          <t>Clasificación: veredicto</t>
        </is>
      </c>
      <c r="D874" s="20" t="inlineStr">
        <is>
          <t>BW</t>
        </is>
      </c>
      <c r="E874" s="20" t="n"/>
      <c r="F874" s="20" t="inlineStr">
        <is>
          <t>Integrar</t>
        </is>
      </c>
    </row>
    <row r="875">
      <c r="A875" s="20" t="n">
        <v>89</v>
      </c>
      <c r="B875" s="20" t="inlineStr">
        <is>
          <t>Agencia Gallega de Innovación (GAIN)</t>
        </is>
      </c>
      <c r="C875" s="20" t="inlineStr">
        <is>
          <t>Clasificación: función</t>
        </is>
      </c>
      <c r="D875" s="20" t="inlineStr">
        <is>
          <t>BX</t>
        </is>
      </c>
      <c r="E875" s="20" t="n"/>
      <c r="F875" s="20" t="inlineStr">
        <is>
          <t>Financiación y ayudas</t>
        </is>
      </c>
    </row>
    <row r="876">
      <c r="A876" s="20" t="n">
        <v>89</v>
      </c>
      <c r="B876" s="20" t="inlineStr">
        <is>
          <t>Agencia Gallega de Innovación (GAIN)</t>
        </is>
      </c>
      <c r="C876" s="20" t="inlineStr">
        <is>
          <t>Clasificación: duplicidad</t>
        </is>
      </c>
      <c r="D876" s="20" t="inlineStr">
        <is>
          <t>BY</t>
        </is>
      </c>
      <c r="E876" s="20" t="n"/>
      <c r="F876" s="20" t="inlineStr">
        <is>
          <t>Paralelo a AEI y CDTI: cada nivel actúa con sus propios fondos o competencias. 10 organismos sobre este tema entre el Estado y las CCAA (verificados).</t>
        </is>
      </c>
    </row>
    <row r="877">
      <c r="A877" s="20" t="n">
        <v>89</v>
      </c>
      <c r="B877" s="20" t="inlineStr">
        <is>
          <t>Agencia Gallega de Innovación (GAIN)</t>
        </is>
      </c>
      <c r="C877" s="20" t="inlineStr">
        <is>
          <t>Clasificación: exigida por la UE</t>
        </is>
      </c>
      <c r="D877" s="20" t="inlineStr">
        <is>
          <t>BZ</t>
        </is>
      </c>
      <c r="E877" s="20" t="n"/>
      <c r="F877" s="20" t="inlineStr">
        <is>
          <t>No</t>
        </is>
      </c>
    </row>
    <row r="878">
      <c r="A878" s="20" t="n">
        <v>89</v>
      </c>
      <c r="B878" s="20" t="inlineStr">
        <is>
          <t>Agencia Gallega de Innovación (GAIN)</t>
        </is>
      </c>
      <c r="C878" s="20" t="inlineStr">
        <is>
          <t>Clasificación: actividad reciente</t>
        </is>
      </c>
      <c r="D878" s="20" t="inlineStr">
        <is>
          <t>CA</t>
        </is>
      </c>
      <c r="E878" s="20" t="n"/>
      <c r="F878" s="20" t="inlineStr">
        <is>
          <t>Parcial</t>
        </is>
      </c>
    </row>
    <row r="879">
      <c r="A879" s="20" t="n">
        <v>89</v>
      </c>
      <c r="B879" s="20" t="inlineStr">
        <is>
          <t>Agencia Gallega de Innovación (GAIN)</t>
        </is>
      </c>
      <c r="C879" s="20" t="inlineStr">
        <is>
          <t>Clasificación: motivo</t>
        </is>
      </c>
      <c r="D879" s="20" t="inlineStr">
        <is>
          <t>CB</t>
        </is>
      </c>
      <c r="E879" s="20" t="n"/>
      <c r="F879" s="20" t="inlineStr">
        <is>
          <t>Agencia autonómica que financia I+D+i; la AEI y el CDTI ya financian en todo el territorio.</t>
        </is>
      </c>
    </row>
    <row r="880">
      <c r="A880" s="20" t="n">
        <v>89</v>
      </c>
      <c r="B880" s="20" t="inlineStr">
        <is>
          <t>Agencia Gallega de Innovación (GAIN)</t>
        </is>
      </c>
      <c r="C880" s="20" t="inlineStr">
        <is>
          <t>Clasificación: base en el P100</t>
        </is>
      </c>
      <c r="D880" s="20" t="inlineStr">
        <is>
          <t>CC</t>
        </is>
      </c>
      <c r="E880" s="20" t="n"/>
      <c r="F880" s="20" t="inlineStr">
        <is>
          <t>Aplicando el criterio del P100: Criterio Extramuros del 12/10/2026</t>
        </is>
      </c>
    </row>
    <row r="881">
      <c r="A881" s="20" t="n">
        <v>89</v>
      </c>
      <c r="B881" s="20" t="inlineStr">
        <is>
          <t>Agencia Gallega de Innovación (GAIN)</t>
        </is>
      </c>
      <c r="C881" s="20" t="inlineStr">
        <is>
          <t>Clasificación: destino de sus funciones</t>
        </is>
      </c>
      <c r="D881" s="20" t="inlineStr">
        <is>
          <t>CD</t>
        </is>
      </c>
      <c r="E881" s="20" t="n"/>
      <c r="F881" s="20" t="inlineStr">
        <is>
          <t>Agencia Estatal de Investigación (AEI) y Centro para el Desarrollo Tecnológico y la Innovación (CDTI, E.P.E.); la consejería autonómica para fondos propios</t>
        </is>
      </c>
    </row>
    <row r="882">
      <c r="A882" s="20" t="n">
        <v>89</v>
      </c>
      <c r="B882" s="20" t="inlineStr">
        <is>
          <t>Agencia Gallega de Innovación (GAIN)</t>
        </is>
      </c>
      <c r="C882" s="20" t="inlineStr">
        <is>
          <t>Tema funcional</t>
        </is>
      </c>
      <c r="D882" s="20" t="inlineStr">
        <is>
          <t>CE</t>
        </is>
      </c>
      <c r="E882" s="20" t="n"/>
      <c r="F882" s="20" t="inlineStr">
        <is>
          <t>Agencias de investigación e innovación</t>
        </is>
      </c>
    </row>
    <row r="883">
      <c r="A883" s="20" t="n">
        <v>89</v>
      </c>
      <c r="B883" s="20" t="inlineStr">
        <is>
          <t>Agencia Gallega de Innovación (GAIN)</t>
        </is>
      </c>
      <c r="C883" s="20" t="inlineStr">
        <is>
          <t>Organismos del mismo tema (Estado + CCAA, verificados)</t>
        </is>
      </c>
      <c r="D883" s="20" t="inlineStr">
        <is>
          <t>CF</t>
        </is>
      </c>
      <c r="E883" s="20" t="n"/>
      <c r="F883" s="20" t="n">
        <v>10</v>
      </c>
    </row>
    <row r="884">
      <c r="A884" s="20" t="n">
        <v>90</v>
      </c>
      <c r="B884" s="20" t="inlineStr">
        <is>
          <t>Consejo de la Juventud de la Comunidad de Madrid</t>
        </is>
      </c>
      <c r="C884" s="20" t="inlineStr">
        <is>
          <t>Clasificación: útil / no útil</t>
        </is>
      </c>
      <c r="D884" s="20" t="inlineStr">
        <is>
          <t>BV</t>
        </is>
      </c>
      <c r="E884" s="20" t="n"/>
      <c r="F884" s="20" t="inlineStr">
        <is>
          <t>Extinguida</t>
        </is>
      </c>
    </row>
    <row r="885">
      <c r="A885" s="20" t="n">
        <v>90</v>
      </c>
      <c r="B885" s="20" t="inlineStr">
        <is>
          <t>Consejo de la Juventud de la Comunidad de Madrid</t>
        </is>
      </c>
      <c r="C885" s="20" t="inlineStr">
        <is>
          <t>Clasificación: veredicto</t>
        </is>
      </c>
      <c r="D885" s="20" t="inlineStr">
        <is>
          <t>BW</t>
        </is>
      </c>
      <c r="E885" s="20" t="n"/>
      <c r="F885" s="20" t="inlineStr">
        <is>
          <t>Extinguida</t>
        </is>
      </c>
    </row>
    <row r="886">
      <c r="A886" s="20" t="n">
        <v>90</v>
      </c>
      <c r="B886" s="20" t="inlineStr">
        <is>
          <t>Consejo de la Juventud de la Comunidad de Madrid</t>
        </is>
      </c>
      <c r="C886" s="20" t="inlineStr">
        <is>
          <t>Clasificación: función</t>
        </is>
      </c>
      <c r="D886" s="20" t="inlineStr">
        <is>
          <t>BX</t>
        </is>
      </c>
      <c r="E886" s="20" t="n"/>
      <c r="F886" s="20" t="inlineStr">
        <is>
          <t>Extinguida o no constituida</t>
        </is>
      </c>
    </row>
    <row r="887">
      <c r="A887" s="20" t="n">
        <v>90</v>
      </c>
      <c r="B887" s="20" t="inlineStr">
        <is>
          <t>Consejo de la Juventud de la Comunidad de Madrid</t>
        </is>
      </c>
      <c r="C887" s="20" t="inlineStr">
        <is>
          <t>Clasificación: duplicidad</t>
        </is>
      </c>
      <c r="D887" s="20" t="inlineStr">
        <is>
          <t>BY</t>
        </is>
      </c>
      <c r="E887" s="20" t="n"/>
      <c r="F887" s="20" t="inlineStr">
        <is>
          <t>12 organismos sobre este tema entre el Estado y las CCAA (verificados)</t>
        </is>
      </c>
    </row>
    <row r="888">
      <c r="A888" s="20" t="n">
        <v>90</v>
      </c>
      <c r="B888" s="20" t="inlineStr">
        <is>
          <t>Consejo de la Juventud de la Comunidad de Madrid</t>
        </is>
      </c>
      <c r="C888" s="20" t="inlineStr">
        <is>
          <t>Clasificación: exigida por la UE</t>
        </is>
      </c>
      <c r="D888" s="20" t="inlineStr">
        <is>
          <t>BZ</t>
        </is>
      </c>
      <c r="E888" s="20" t="n"/>
      <c r="F888" s="20" t="inlineStr">
        <is>
          <t>No</t>
        </is>
      </c>
    </row>
    <row r="889">
      <c r="A889" s="20" t="n">
        <v>90</v>
      </c>
      <c r="B889" s="20" t="inlineStr">
        <is>
          <t>Consejo de la Juventud de la Comunidad de Madrid</t>
        </is>
      </c>
      <c r="C889" s="20" t="inlineStr">
        <is>
          <t>Clasificación: actividad reciente</t>
        </is>
      </c>
      <c r="D889" s="20" t="inlineStr">
        <is>
          <t>CA</t>
        </is>
      </c>
      <c r="E889" s="20" t="n"/>
      <c r="F889" s="20" t="inlineStr">
        <is>
          <t>No aplica (no vigente)</t>
        </is>
      </c>
    </row>
    <row r="890">
      <c r="A890" s="20" t="n">
        <v>90</v>
      </c>
      <c r="B890" s="20" t="inlineStr">
        <is>
          <t>Consejo de la Juventud de la Comunidad de Madrid</t>
        </is>
      </c>
      <c r="C890" s="20" t="inlineStr">
        <is>
          <t>Clasificación: motivo</t>
        </is>
      </c>
      <c r="D890" s="20" t="inlineStr">
        <is>
          <t>CB</t>
        </is>
      </c>
      <c r="E890" s="20" t="n"/>
      <c r="F890" s="20" t="inlineStr">
        <is>
          <t>Suprimido por Ley 8/2024 de Madrid.</t>
        </is>
      </c>
    </row>
    <row r="891">
      <c r="A891" s="20" t="n">
        <v>90</v>
      </c>
      <c r="B891" s="20" t="inlineStr">
        <is>
          <t>Consejo de la Juventud de la Comunidad de Madrid</t>
        </is>
      </c>
      <c r="C891" s="20" t="inlineStr">
        <is>
          <t>Tema funcional</t>
        </is>
      </c>
      <c r="D891" s="20" t="inlineStr">
        <is>
          <t>CE</t>
        </is>
      </c>
      <c r="E891" s="20" t="n"/>
      <c r="F891" s="20" t="inlineStr">
        <is>
          <t>Consejos de la juventud</t>
        </is>
      </c>
    </row>
    <row r="892">
      <c r="A892" s="20" t="n">
        <v>90</v>
      </c>
      <c r="B892" s="20" t="inlineStr">
        <is>
          <t>Consejo de la Juventud de la Comunidad de Madrid</t>
        </is>
      </c>
      <c r="C892" s="20" t="inlineStr">
        <is>
          <t>Organismos del mismo tema (Estado + CCAA, verificados)</t>
        </is>
      </c>
      <c r="D892" s="20" t="inlineStr">
        <is>
          <t>CF</t>
        </is>
      </c>
      <c r="E892" s="20" t="n"/>
      <c r="F892" s="20" t="n">
        <v>12</v>
      </c>
    </row>
    <row r="893">
      <c r="A893" s="20" t="n">
        <v>91</v>
      </c>
      <c r="B893" s="20" t="inlineStr">
        <is>
          <t>Instituto de Turismo de la Región de Murcia (ITREM)</t>
        </is>
      </c>
      <c r="C893" s="20" t="inlineStr">
        <is>
          <t>Clasificación: útil / no útil</t>
        </is>
      </c>
      <c r="D893" s="20" t="inlineStr">
        <is>
          <t>BV</t>
        </is>
      </c>
      <c r="E893" s="20" t="n"/>
      <c r="F893" s="20" t="inlineStr">
        <is>
          <t>No útil</t>
        </is>
      </c>
    </row>
    <row r="894">
      <c r="A894" s="20" t="n">
        <v>91</v>
      </c>
      <c r="B894" s="20" t="inlineStr">
        <is>
          <t>Instituto de Turismo de la Región de Murcia (ITREM)</t>
        </is>
      </c>
      <c r="C894" s="20" t="inlineStr">
        <is>
          <t>Clasificación: veredicto</t>
        </is>
      </c>
      <c r="D894" s="20" t="inlineStr">
        <is>
          <t>BW</t>
        </is>
      </c>
      <c r="E894" s="20" t="n"/>
      <c r="F894" s="20" t="inlineStr">
        <is>
          <t>Integrar</t>
        </is>
      </c>
    </row>
    <row r="895">
      <c r="A895" s="20" t="n">
        <v>91</v>
      </c>
      <c r="B895" s="20" t="inlineStr">
        <is>
          <t>Instituto de Turismo de la Región de Murcia (ITREM)</t>
        </is>
      </c>
      <c r="C895" s="20" t="inlineStr">
        <is>
          <t>Clasificación: función</t>
        </is>
      </c>
      <c r="D895" s="20" t="inlineStr">
        <is>
          <t>BX</t>
        </is>
      </c>
      <c r="E895" s="20" t="n"/>
      <c r="F895" s="20" t="inlineStr">
        <is>
          <t>Financiación y ayudas</t>
        </is>
      </c>
    </row>
    <row r="896">
      <c r="A896" s="20" t="n">
        <v>91</v>
      </c>
      <c r="B896" s="20" t="inlineStr">
        <is>
          <t>Instituto de Turismo de la Región de Murcia (ITREM)</t>
        </is>
      </c>
      <c r="C896" s="20" t="inlineStr">
        <is>
          <t>Clasificación: exigida por la UE</t>
        </is>
      </c>
      <c r="D896" s="20" t="inlineStr">
        <is>
          <t>BZ</t>
        </is>
      </c>
      <c r="E896" s="20" t="n"/>
      <c r="F896" s="20" t="inlineStr">
        <is>
          <t>No</t>
        </is>
      </c>
    </row>
    <row r="897">
      <c r="A897" s="20" t="n">
        <v>91</v>
      </c>
      <c r="B897" s="20" t="inlineStr">
        <is>
          <t>Instituto de Turismo de la Región de Murcia (ITREM)</t>
        </is>
      </c>
      <c r="C897" s="20" t="inlineStr">
        <is>
          <t>Clasificación: actividad reciente</t>
        </is>
      </c>
      <c r="D897" s="20" t="inlineStr">
        <is>
          <t>CA</t>
        </is>
      </c>
      <c r="E897" s="20" t="n"/>
      <c r="F897" s="20" t="inlineStr">
        <is>
          <t>Acreditada</t>
        </is>
      </c>
    </row>
    <row r="898">
      <c r="A898" s="20" t="n">
        <v>91</v>
      </c>
      <c r="B898" s="20" t="inlineStr">
        <is>
          <t>Instituto de Turismo de la Región de Murcia (ITREM)</t>
        </is>
      </c>
      <c r="C898" s="20" t="inlineStr">
        <is>
          <t>Clasificación: motivo</t>
        </is>
      </c>
      <c r="D898" s="20" t="inlineStr">
        <is>
          <t>CB</t>
        </is>
      </c>
      <c r="E898" s="20" t="n"/>
      <c r="F898" s="20" t="inlineStr">
        <is>
          <t>Promoción turística: no exige una entidad propia; la puede hacer la consejería.</t>
        </is>
      </c>
    </row>
    <row r="899">
      <c r="A899" s="20" t="n">
        <v>91</v>
      </c>
      <c r="B899" s="20" t="inlineStr">
        <is>
          <t>Instituto de Turismo de la Región de Murcia (ITREM)</t>
        </is>
      </c>
      <c r="C899" s="20" t="inlineStr">
        <is>
          <t>Clasificación: base en el P100</t>
        </is>
      </c>
      <c r="D899" s="20" t="inlineStr">
        <is>
          <t>CC</t>
        </is>
      </c>
      <c r="E899" s="20" t="n"/>
      <c r="F899" s="20" t="inlineStr">
        <is>
          <t>Aplicando el criterio del P100: Costes del Estado 9 (aplicado a las CCAA)</t>
        </is>
      </c>
    </row>
    <row r="900">
      <c r="A900" s="20" t="n">
        <v>91</v>
      </c>
      <c r="B900" s="20" t="inlineStr">
        <is>
          <t>Instituto de Turismo de la Región de Murcia (ITREM)</t>
        </is>
      </c>
      <c r="C900" s="20" t="inlineStr">
        <is>
          <t>Clasificación: destino de sus funciones</t>
        </is>
      </c>
      <c r="D900" s="20" t="inlineStr">
        <is>
          <t>CD</t>
        </is>
      </c>
      <c r="E900" s="20" t="n"/>
      <c r="F900" s="20" t="inlineStr">
        <is>
          <t>Consejería de Turismo de la comunidad autónoma</t>
        </is>
      </c>
    </row>
    <row r="901">
      <c r="A901" s="20" t="n">
        <v>91</v>
      </c>
      <c r="B901" s="20" t="inlineStr">
        <is>
          <t>Instituto de Turismo de la Región de Murcia (ITREM)</t>
        </is>
      </c>
      <c r="C901" s="20" t="inlineStr">
        <is>
          <t>Tema funcional</t>
        </is>
      </c>
      <c r="D901" s="20" t="inlineStr">
        <is>
          <t>CE</t>
        </is>
      </c>
      <c r="E901" s="20" t="n"/>
      <c r="F901" s="20" t="inlineStr">
        <is>
          <t>Turismo</t>
        </is>
      </c>
    </row>
    <row r="902">
      <c r="A902" s="20" t="n">
        <v>92</v>
      </c>
      <c r="B902" s="20" t="inlineStr">
        <is>
          <t>Oficina de Buenas Prácticas y Anticorrupción</t>
        </is>
      </c>
      <c r="C902" s="20" t="inlineStr">
        <is>
          <t>Clasificación: útil / no útil</t>
        </is>
      </c>
      <c r="D902" s="20" t="inlineStr">
        <is>
          <t>BV</t>
        </is>
      </c>
      <c r="E902" s="20" t="n"/>
      <c r="F902" s="20" t="inlineStr">
        <is>
          <t>No útil</t>
        </is>
      </c>
    </row>
    <row r="903">
      <c r="A903" s="20" t="n">
        <v>92</v>
      </c>
      <c r="B903" s="20" t="inlineStr">
        <is>
          <t>Oficina de Buenas Prácticas y Anticorrupción</t>
        </is>
      </c>
      <c r="C903" s="20" t="inlineStr">
        <is>
          <t>Clasificación: veredicto</t>
        </is>
      </c>
      <c r="D903" s="20" t="inlineStr">
        <is>
          <t>BW</t>
        </is>
      </c>
      <c r="E903" s="20" t="n"/>
      <c r="F903" s="20" t="inlineStr">
        <is>
          <t>Integrar</t>
        </is>
      </c>
    </row>
    <row r="904">
      <c r="A904" s="20" t="n">
        <v>92</v>
      </c>
      <c r="B904" s="20" t="inlineStr">
        <is>
          <t>Oficina de Buenas Prácticas y Anticorrupción</t>
        </is>
      </c>
      <c r="C904" s="20" t="inlineStr">
        <is>
          <t>Clasificación: función</t>
        </is>
      </c>
      <c r="D904" s="20" t="inlineStr">
        <is>
          <t>BX</t>
        </is>
      </c>
      <c r="E904" s="20" t="n"/>
      <c r="F904" s="20" t="inlineStr">
        <is>
          <t>Control interno y cumplimiento</t>
        </is>
      </c>
    </row>
    <row r="905">
      <c r="A905" s="20" t="n">
        <v>92</v>
      </c>
      <c r="B905" s="20" t="inlineStr">
        <is>
          <t>Oficina de Buenas Prácticas y Anticorrupción</t>
        </is>
      </c>
      <c r="C905" s="20" t="inlineStr">
        <is>
          <t>Clasificación: duplicidad</t>
        </is>
      </c>
      <c r="D905" s="20" t="inlineStr">
        <is>
          <t>BY</t>
        </is>
      </c>
      <c r="E905" s="20" t="n"/>
      <c r="F905" s="20" t="inlineStr">
        <is>
          <t>Paralelo a AIPI: cada nivel actúa con sus propios fondos o competencias. 10 organismos sobre este tema entre el Estado y las CCAA (verificados).</t>
        </is>
      </c>
    </row>
    <row r="906">
      <c r="A906" s="20" t="n">
        <v>92</v>
      </c>
      <c r="B906" s="20" t="inlineStr">
        <is>
          <t>Oficina de Buenas Prácticas y Anticorrupción</t>
        </is>
      </c>
      <c r="C906" s="20" t="inlineStr">
        <is>
          <t>Clasificación: exigida por la UE</t>
        </is>
      </c>
      <c r="D906" s="20" t="inlineStr">
        <is>
          <t>BZ</t>
        </is>
      </c>
      <c r="E906" s="20" t="n"/>
      <c r="F906" s="20" t="inlineStr">
        <is>
          <t>No</t>
        </is>
      </c>
    </row>
    <row r="907">
      <c r="A907" s="20" t="n">
        <v>92</v>
      </c>
      <c r="B907" s="20" t="inlineStr">
        <is>
          <t>Oficina de Buenas Prácticas y Anticorrupción</t>
        </is>
      </c>
      <c r="C907" s="20" t="inlineStr">
        <is>
          <t>Clasificación: actividad reciente</t>
        </is>
      </c>
      <c r="D907" s="20" t="inlineStr">
        <is>
          <t>CA</t>
        </is>
      </c>
      <c r="E907" s="20" t="n"/>
      <c r="F907" s="20" t="inlineStr">
        <is>
          <t>Acreditada</t>
        </is>
      </c>
    </row>
    <row r="908">
      <c r="A908" s="20" t="n">
        <v>92</v>
      </c>
      <c r="B908" s="20" t="inlineStr">
        <is>
          <t>Oficina de Buenas Prácticas y Anticorrupción</t>
        </is>
      </c>
      <c r="C908" s="20" t="inlineStr">
        <is>
          <t>Clasificación: motivo</t>
        </is>
      </c>
      <c r="D908" s="20" t="inlineStr">
        <is>
          <t>CB</t>
        </is>
      </c>
      <c r="E908" s="20" t="n"/>
      <c r="F908" s="20" t="inlineStr">
        <is>
          <t>Oficina antifraude autonómica: investiga irregularidades que también ven el órgano de control externo y la Fiscalía.</t>
        </is>
      </c>
    </row>
    <row r="909">
      <c r="A909" s="20" t="n">
        <v>92</v>
      </c>
      <c r="B909" s="20" t="inlineStr">
        <is>
          <t>Oficina de Buenas Prácticas y Anticorrupción</t>
        </is>
      </c>
      <c r="C909" s="20" t="inlineStr">
        <is>
          <t>Clasificación: base en el P100</t>
        </is>
      </c>
      <c r="D909" s="20" t="inlineStr">
        <is>
          <t>CC</t>
        </is>
      </c>
      <c r="E909" s="20" t="n"/>
      <c r="F909" s="20" t="inlineStr">
        <is>
          <t>Aplicando el criterio del P100: Criterio Extramuros del 12/10/2026</t>
        </is>
      </c>
    </row>
    <row r="910">
      <c r="A910" s="20" t="n">
        <v>92</v>
      </c>
      <c r="B910" s="20" t="inlineStr">
        <is>
          <t>Oficina de Buenas Prácticas y Anticorrupción</t>
        </is>
      </c>
      <c r="C910" s="20" t="inlineStr">
        <is>
          <t>Clasificación: destino de sus funciones</t>
        </is>
      </c>
      <c r="D910" s="20" t="inlineStr">
        <is>
          <t>CD</t>
        </is>
      </c>
      <c r="E910" s="20" t="n"/>
      <c r="F910" s="20" t="inlineStr">
        <is>
          <t>Cámara o Sindicatura de Cuentas de la comunidad autónoma; para denuncias, Autoridad Independiente de Protección del Informante (AIPI) por convenio</t>
        </is>
      </c>
    </row>
    <row r="911">
      <c r="A911" s="20" t="n">
        <v>92</v>
      </c>
      <c r="B911" s="20" t="inlineStr">
        <is>
          <t>Oficina de Buenas Prácticas y Anticorrupción</t>
        </is>
      </c>
      <c r="C911" s="20" t="inlineStr">
        <is>
          <t>Tema funcional</t>
        </is>
      </c>
      <c r="D911" s="20" t="inlineStr">
        <is>
          <t>CE</t>
        </is>
      </c>
      <c r="E911" s="20" t="n"/>
      <c r="F911" s="20" t="inlineStr">
        <is>
          <t>Oficinas y agencias antifraude y de protección del informante</t>
        </is>
      </c>
    </row>
    <row r="912">
      <c r="A912" s="20" t="n">
        <v>92</v>
      </c>
      <c r="B912" s="20" t="inlineStr">
        <is>
          <t>Oficina de Buenas Prácticas y Anticorrupción</t>
        </is>
      </c>
      <c r="C912" s="20" t="inlineStr">
        <is>
          <t>Organismos del mismo tema (Estado + CCAA, verificados)</t>
        </is>
      </c>
      <c r="D912" s="20" t="inlineStr">
        <is>
          <t>CF</t>
        </is>
      </c>
      <c r="E912" s="20" t="n"/>
      <c r="F912" s="20" t="n">
        <v>10</v>
      </c>
    </row>
    <row r="913">
      <c r="A913" s="20" t="n">
        <v>93</v>
      </c>
      <c r="B913" s="20" t="inlineStr">
        <is>
          <t>Autoridad Vasca de la Competencia (AVC)</t>
        </is>
      </c>
      <c r="C913" s="20" t="inlineStr">
        <is>
          <t>Clasificación: útil / no útil</t>
        </is>
      </c>
      <c r="D913" s="20" t="inlineStr">
        <is>
          <t>BV</t>
        </is>
      </c>
      <c r="E913" s="20" t="n"/>
      <c r="F913" s="20" t="inlineStr">
        <is>
          <t>No útil</t>
        </is>
      </c>
    </row>
    <row r="914">
      <c r="A914" s="20" t="n">
        <v>93</v>
      </c>
      <c r="B914" s="20" t="inlineStr">
        <is>
          <t>Autoridad Vasca de la Competencia (AVC)</t>
        </is>
      </c>
      <c r="C914" s="20" t="inlineStr">
        <is>
          <t>Clasificación: veredicto</t>
        </is>
      </c>
      <c r="D914" s="20" t="inlineStr">
        <is>
          <t>BW</t>
        </is>
      </c>
      <c r="E914" s="20" t="n"/>
      <c r="F914" s="20" t="inlineStr">
        <is>
          <t>Integrar</t>
        </is>
      </c>
    </row>
    <row r="915">
      <c r="A915" s="20" t="n">
        <v>93</v>
      </c>
      <c r="B915" s="20" t="inlineStr">
        <is>
          <t>Autoridad Vasca de la Competencia (AVC)</t>
        </is>
      </c>
      <c r="C915" s="20" t="inlineStr">
        <is>
          <t>Clasificación: función</t>
        </is>
      </c>
      <c r="D915" s="20" t="inlineStr">
        <is>
          <t>BX</t>
        </is>
      </c>
      <c r="E915" s="20" t="n"/>
      <c r="F915" s="20" t="inlineStr">
        <is>
          <t>Regulación o inspección de terceros</t>
        </is>
      </c>
    </row>
    <row r="916">
      <c r="A916" s="20" t="n">
        <v>93</v>
      </c>
      <c r="B916" s="20" t="inlineStr">
        <is>
          <t>Autoridad Vasca de la Competencia (AVC)</t>
        </is>
      </c>
      <c r="C916" s="20" t="inlineStr">
        <is>
          <t>Clasificación: duplicidad</t>
        </is>
      </c>
      <c r="D916" s="20" t="inlineStr">
        <is>
          <t>BY</t>
        </is>
      </c>
      <c r="E916" s="20" t="n"/>
      <c r="F916" s="20" t="inlineStr">
        <is>
          <t>Duplica a CNMC, que ya cubre este territorio o puede hacerlo. 10 organismos sobre este tema entre el Estado y las CCAA (verificados).</t>
        </is>
      </c>
    </row>
    <row r="917">
      <c r="A917" s="20" t="n">
        <v>93</v>
      </c>
      <c r="B917" s="20" t="inlineStr">
        <is>
          <t>Autoridad Vasca de la Competencia (AVC)</t>
        </is>
      </c>
      <c r="C917" s="20" t="inlineStr">
        <is>
          <t>Clasificación: exigida por la UE</t>
        </is>
      </c>
      <c r="D917" s="20" t="inlineStr">
        <is>
          <t>BZ</t>
        </is>
      </c>
      <c r="E917" s="20" t="n"/>
      <c r="F917" s="20" t="inlineStr">
        <is>
          <t>No</t>
        </is>
      </c>
    </row>
    <row r="918">
      <c r="A918" s="20" t="n">
        <v>93</v>
      </c>
      <c r="B918" s="20" t="inlineStr">
        <is>
          <t>Autoridad Vasca de la Competencia (AVC)</t>
        </is>
      </c>
      <c r="C918" s="20" t="inlineStr">
        <is>
          <t>Clasificación: actividad reciente</t>
        </is>
      </c>
      <c r="D918" s="20" t="inlineStr">
        <is>
          <t>CA</t>
        </is>
      </c>
      <c r="E918" s="20" t="n"/>
      <c r="F918" s="20" t="inlineStr">
        <is>
          <t>Acreditada</t>
        </is>
      </c>
    </row>
    <row r="919">
      <c r="A919" s="20" t="n">
        <v>93</v>
      </c>
      <c r="B919" s="20" t="inlineStr">
        <is>
          <t>Autoridad Vasca de la Competencia (AVC)</t>
        </is>
      </c>
      <c r="C919" s="20" t="inlineStr">
        <is>
          <t>Clasificación: motivo</t>
        </is>
      </c>
      <c r="D919" s="20" t="inlineStr">
        <is>
          <t>CB</t>
        </is>
      </c>
      <c r="E919" s="20" t="n"/>
      <c r="F919" s="20" t="inlineStr">
        <is>
          <t>Autoridad autonómica de competencia; la CNMC ya actúa en todo el territorio.</t>
        </is>
      </c>
    </row>
    <row r="920">
      <c r="A920" s="20" t="n">
        <v>93</v>
      </c>
      <c r="B920" s="20" t="inlineStr">
        <is>
          <t>Autoridad Vasca de la Competencia (AVC)</t>
        </is>
      </c>
      <c r="C920" s="20" t="inlineStr">
        <is>
          <t>Clasificación: base en el P100</t>
        </is>
      </c>
      <c r="D920" s="20" t="inlineStr">
        <is>
          <t>CC</t>
        </is>
      </c>
      <c r="E920" s="20" t="n"/>
      <c r="F920" s="20" t="inlineStr">
        <is>
          <t>Aplicando el criterio del P100: Criterio Extramuros del 12/10/2026 («con una nacional basta»)</t>
        </is>
      </c>
    </row>
    <row r="921">
      <c r="A921" s="20" t="n">
        <v>93</v>
      </c>
      <c r="B921" s="20" t="inlineStr">
        <is>
          <t>Autoridad Vasca de la Competencia (AVC)</t>
        </is>
      </c>
      <c r="C921" s="20" t="inlineStr">
        <is>
          <t>Clasificación: destino de sus funciones</t>
        </is>
      </c>
      <c r="D921" s="20" t="inlineStr">
        <is>
          <t>CD</t>
        </is>
      </c>
      <c r="E921" s="20" t="n"/>
      <c r="F921" s="20" t="inlineStr">
        <is>
          <t>Comisión Nacional de los Mercados y la Competencia (CNMC)</t>
        </is>
      </c>
    </row>
    <row r="922">
      <c r="A922" s="20" t="n">
        <v>93</v>
      </c>
      <c r="B922" s="20" t="inlineStr">
        <is>
          <t>Autoridad Vasca de la Competencia (AVC)</t>
        </is>
      </c>
      <c r="C922" s="20" t="inlineStr">
        <is>
          <t>Tema funcional</t>
        </is>
      </c>
      <c r="D922" s="20" t="inlineStr">
        <is>
          <t>CE</t>
        </is>
      </c>
      <c r="E922" s="20" t="n"/>
      <c r="F922" s="20" t="inlineStr">
        <is>
          <t>Autoridades de defensa de la competencia</t>
        </is>
      </c>
    </row>
    <row r="923">
      <c r="A923" s="20" t="n">
        <v>93</v>
      </c>
      <c r="B923" s="20" t="inlineStr">
        <is>
          <t>Autoridad Vasca de la Competencia (AVC)</t>
        </is>
      </c>
      <c r="C923" s="20" t="inlineStr">
        <is>
          <t>Organismos del mismo tema (Estado + CCAA, verificados)</t>
        </is>
      </c>
      <c r="D923" s="20" t="inlineStr">
        <is>
          <t>CF</t>
        </is>
      </c>
      <c r="E923" s="20" t="n"/>
      <c r="F923" s="20" t="n">
        <v>10</v>
      </c>
    </row>
    <row r="924">
      <c r="A924" s="20" t="n">
        <v>94</v>
      </c>
      <c r="B924" s="20" t="inlineStr">
        <is>
          <t>Instituto Riojano de la Juventud</t>
        </is>
      </c>
      <c r="C924" s="20" t="inlineStr">
        <is>
          <t>Clasificación: útil / no útil</t>
        </is>
      </c>
      <c r="D924" s="20" t="inlineStr">
        <is>
          <t>BV</t>
        </is>
      </c>
      <c r="E924" s="20" t="n"/>
      <c r="F924" s="20" t="inlineStr">
        <is>
          <t>Extinguida</t>
        </is>
      </c>
    </row>
    <row r="925">
      <c r="A925" s="20" t="n">
        <v>94</v>
      </c>
      <c r="B925" s="20" t="inlineStr">
        <is>
          <t>Instituto Riojano de la Juventud</t>
        </is>
      </c>
      <c r="C925" s="20" t="inlineStr">
        <is>
          <t>Clasificación: veredicto</t>
        </is>
      </c>
      <c r="D925" s="20" t="inlineStr">
        <is>
          <t>BW</t>
        </is>
      </c>
      <c r="E925" s="20" t="n"/>
      <c r="F925" s="20" t="inlineStr">
        <is>
          <t>Extinguida</t>
        </is>
      </c>
    </row>
    <row r="926">
      <c r="A926" s="20" t="n">
        <v>94</v>
      </c>
      <c r="B926" s="20" t="inlineStr">
        <is>
          <t>Instituto Riojano de la Juventud</t>
        </is>
      </c>
      <c r="C926" s="20" t="inlineStr">
        <is>
          <t>Clasificación: función</t>
        </is>
      </c>
      <c r="D926" s="20" t="inlineStr">
        <is>
          <t>BX</t>
        </is>
      </c>
      <c r="E926" s="20" t="n"/>
      <c r="F926" s="20" t="inlineStr">
        <is>
          <t>Extinguida o no constituida</t>
        </is>
      </c>
    </row>
    <row r="927">
      <c r="A927" s="20" t="n">
        <v>94</v>
      </c>
      <c r="B927" s="20" t="inlineStr">
        <is>
          <t>Instituto Riojano de la Juventud</t>
        </is>
      </c>
      <c r="C927" s="20" t="inlineStr">
        <is>
          <t>Clasificación: exigida por la UE</t>
        </is>
      </c>
      <c r="D927" s="20" t="inlineStr">
        <is>
          <t>BZ</t>
        </is>
      </c>
      <c r="E927" s="20" t="n"/>
      <c r="F927" s="20" t="inlineStr">
        <is>
          <t>No</t>
        </is>
      </c>
    </row>
    <row r="928">
      <c r="A928" s="20" t="n">
        <v>94</v>
      </c>
      <c r="B928" s="20" t="inlineStr">
        <is>
          <t>Instituto Riojano de la Juventud</t>
        </is>
      </c>
      <c r="C928" s="20" t="inlineStr">
        <is>
          <t>Clasificación: actividad reciente</t>
        </is>
      </c>
      <c r="D928" s="20" t="inlineStr">
        <is>
          <t>CA</t>
        </is>
      </c>
      <c r="E928" s="20" t="n"/>
      <c r="F928" s="20" t="inlineStr">
        <is>
          <t>No aplica (no vigente)</t>
        </is>
      </c>
    </row>
    <row r="929">
      <c r="A929" s="20" t="n">
        <v>94</v>
      </c>
      <c r="B929" s="20" t="inlineStr">
        <is>
          <t>Instituto Riojano de la Juventud</t>
        </is>
      </c>
      <c r="C929" s="20" t="inlineStr">
        <is>
          <t>Clasificación: motivo</t>
        </is>
      </c>
      <c r="D929" s="20" t="inlineStr">
        <is>
          <t>CB</t>
        </is>
      </c>
      <c r="E929" s="20" t="n"/>
      <c r="F929" s="20" t="inlineStr">
        <is>
          <t>Extinguido en 2012.</t>
        </is>
      </c>
    </row>
    <row r="930">
      <c r="A930" s="20" t="n">
        <v>94</v>
      </c>
      <c r="B930" s="20" t="inlineStr">
        <is>
          <t>Instituto Riojano de la Juventud</t>
        </is>
      </c>
      <c r="C930" s="20" t="inlineStr">
        <is>
          <t>Tema funcional</t>
        </is>
      </c>
      <c r="D930" s="20" t="inlineStr">
        <is>
          <t>CE</t>
        </is>
      </c>
      <c r="E930" s="20" t="n"/>
      <c r="F930" s="20" t="inlineStr">
        <is>
          <t>Juventud</t>
        </is>
      </c>
    </row>
    <row r="931">
      <c r="A931" s="20" t="n">
        <v>95</v>
      </c>
      <c r="B931" s="20" t="inlineStr">
        <is>
          <t>Agencia de Prevención y Lucha contra el Fraude y la Corrupción (AVAF)</t>
        </is>
      </c>
      <c r="C931" s="20" t="inlineStr">
        <is>
          <t>Clasificación: útil / no útil</t>
        </is>
      </c>
      <c r="D931" s="20" t="inlineStr">
        <is>
          <t>BV</t>
        </is>
      </c>
      <c r="E931" s="20" t="n"/>
      <c r="F931" s="20" t="inlineStr">
        <is>
          <t>No útil</t>
        </is>
      </c>
    </row>
    <row r="932">
      <c r="A932" s="20" t="n">
        <v>95</v>
      </c>
      <c r="B932" s="20" t="inlineStr">
        <is>
          <t>Agencia de Prevención y Lucha contra el Fraude y la Corrupción (AVAF)</t>
        </is>
      </c>
      <c r="C932" s="20" t="inlineStr">
        <is>
          <t>Clasificación: veredicto</t>
        </is>
      </c>
      <c r="D932" s="20" t="inlineStr">
        <is>
          <t>BW</t>
        </is>
      </c>
      <c r="E932" s="20" t="n"/>
      <c r="F932" s="20" t="inlineStr">
        <is>
          <t>Integrar</t>
        </is>
      </c>
    </row>
    <row r="933">
      <c r="A933" s="20" t="n">
        <v>95</v>
      </c>
      <c r="B933" s="20" t="inlineStr">
        <is>
          <t>Agencia de Prevención y Lucha contra el Fraude y la Corrupción (AVAF)</t>
        </is>
      </c>
      <c r="C933" s="20" t="inlineStr">
        <is>
          <t>Clasificación: función</t>
        </is>
      </c>
      <c r="D933" s="20" t="inlineStr">
        <is>
          <t>BX</t>
        </is>
      </c>
      <c r="E933" s="20" t="n"/>
      <c r="F933" s="20" t="inlineStr">
        <is>
          <t>Control interno y cumplimiento</t>
        </is>
      </c>
    </row>
    <row r="934">
      <c r="A934" s="20" t="n">
        <v>95</v>
      </c>
      <c r="B934" s="20" t="inlineStr">
        <is>
          <t>Agencia de Prevención y Lucha contra el Fraude y la Corrupción (AVAF)</t>
        </is>
      </c>
      <c r="C934" s="20" t="inlineStr">
        <is>
          <t>Clasificación: duplicidad</t>
        </is>
      </c>
      <c r="D934" s="20" t="inlineStr">
        <is>
          <t>BY</t>
        </is>
      </c>
      <c r="E934" s="20" t="n"/>
      <c r="F934" s="20" t="inlineStr">
        <is>
          <t>Paralelo a AIPI: cada nivel actúa con sus propios fondos o competencias. 10 organismos sobre este tema entre el Estado y las CCAA (verificados).</t>
        </is>
      </c>
    </row>
    <row r="935">
      <c r="A935" s="20" t="n">
        <v>95</v>
      </c>
      <c r="B935" s="20" t="inlineStr">
        <is>
          <t>Agencia de Prevención y Lucha contra el Fraude y la Corrupción (AVAF)</t>
        </is>
      </c>
      <c r="C935" s="20" t="inlineStr">
        <is>
          <t>Clasificación: exigida por la UE</t>
        </is>
      </c>
      <c r="D935" s="20" t="inlineStr">
        <is>
          <t>BZ</t>
        </is>
      </c>
      <c r="E935" s="20" t="n"/>
      <c r="F935" s="20" t="inlineStr">
        <is>
          <t>No</t>
        </is>
      </c>
    </row>
    <row r="936">
      <c r="A936" s="20" t="n">
        <v>95</v>
      </c>
      <c r="B936" s="20" t="inlineStr">
        <is>
          <t>Agencia de Prevención y Lucha contra el Fraude y la Corrupción (AVAF)</t>
        </is>
      </c>
      <c r="C936" s="20" t="inlineStr">
        <is>
          <t>Clasificación: actividad reciente</t>
        </is>
      </c>
      <c r="D936" s="20" t="inlineStr">
        <is>
          <t>CA</t>
        </is>
      </c>
      <c r="E936" s="20" t="n"/>
      <c r="F936" s="20" t="inlineStr">
        <is>
          <t>Parcial</t>
        </is>
      </c>
    </row>
    <row r="937">
      <c r="A937" s="20" t="n">
        <v>95</v>
      </c>
      <c r="B937" s="20" t="inlineStr">
        <is>
          <t>Agencia de Prevención y Lucha contra el Fraude y la Corrupción (AVAF)</t>
        </is>
      </c>
      <c r="C937" s="20" t="inlineStr">
        <is>
          <t>Clasificación: motivo</t>
        </is>
      </c>
      <c r="D937" s="20" t="inlineStr">
        <is>
          <t>CB</t>
        </is>
      </c>
      <c r="E937" s="20" t="n"/>
      <c r="F937" s="20" t="inlineStr">
        <is>
          <t>Oficina antifraude autonómica: investiga irregularidades que también ven el órgano de control externo y la Fiscalía.</t>
        </is>
      </c>
    </row>
    <row r="938">
      <c r="A938" s="20" t="n">
        <v>95</v>
      </c>
      <c r="B938" s="20" t="inlineStr">
        <is>
          <t>Agencia de Prevención y Lucha contra el Fraude y la Corrupción (AVAF)</t>
        </is>
      </c>
      <c r="C938" s="20" t="inlineStr">
        <is>
          <t>Clasificación: base en el P100</t>
        </is>
      </c>
      <c r="D938" s="20" t="inlineStr">
        <is>
          <t>CC</t>
        </is>
      </c>
      <c r="E938" s="20" t="n"/>
      <c r="F938" s="20" t="inlineStr">
        <is>
          <t>Aplicando el criterio del P100: Criterio Extramuros del 12/10/2026</t>
        </is>
      </c>
    </row>
    <row r="939">
      <c r="A939" s="20" t="n">
        <v>95</v>
      </c>
      <c r="B939" s="20" t="inlineStr">
        <is>
          <t>Agencia de Prevención y Lucha contra el Fraude y la Corrupción (AVAF)</t>
        </is>
      </c>
      <c r="C939" s="20" t="inlineStr">
        <is>
          <t>Clasificación: destino de sus funciones</t>
        </is>
      </c>
      <c r="D939" s="20" t="inlineStr">
        <is>
          <t>CD</t>
        </is>
      </c>
      <c r="E939" s="20" t="n"/>
      <c r="F939" s="20" t="inlineStr">
        <is>
          <t>Cámara o Sindicatura de Cuentas de la comunidad autónoma; para denuncias, Autoridad Independiente de Protección del Informante (AIPI) por convenio</t>
        </is>
      </c>
    </row>
    <row r="940">
      <c r="A940" s="20" t="n">
        <v>95</v>
      </c>
      <c r="B940" s="20" t="inlineStr">
        <is>
          <t>Agencia de Prevención y Lucha contra el Fraude y la Corrupción (AVAF)</t>
        </is>
      </c>
      <c r="C940" s="20" t="inlineStr">
        <is>
          <t>Tema funcional</t>
        </is>
      </c>
      <c r="D940" s="20" t="inlineStr">
        <is>
          <t>CE</t>
        </is>
      </c>
      <c r="E940" s="20" t="n"/>
      <c r="F940" s="20" t="inlineStr">
        <is>
          <t>Oficinas y agencias antifraude y de protección del informante</t>
        </is>
      </c>
    </row>
    <row r="941">
      <c r="A941" s="20" t="n">
        <v>95</v>
      </c>
      <c r="B941" s="20" t="inlineStr">
        <is>
          <t>Agencia de Prevención y Lucha contra el Fraude y la Corrupción (AVAF)</t>
        </is>
      </c>
      <c r="C941" s="20" t="inlineStr">
        <is>
          <t>Organismos del mismo tema (Estado + CCAA, verificados)</t>
        </is>
      </c>
      <c r="D941" s="20" t="inlineStr">
        <is>
          <t>CF</t>
        </is>
      </c>
      <c r="E941" s="20" t="n"/>
      <c r="F941" s="20" t="n">
        <v>10</v>
      </c>
    </row>
    <row r="942">
      <c r="A942" s="20" t="n">
        <v>96</v>
      </c>
      <c r="B942" s="20" t="inlineStr">
        <is>
          <t>Agencia Madrileña para el Apoyo a las Personas Adultas con Discapacidad</t>
        </is>
      </c>
      <c r="C942" s="20" t="inlineStr">
        <is>
          <t>Clasificación: útil / no útil</t>
        </is>
      </c>
      <c r="D942" s="20" t="inlineStr">
        <is>
          <t>BV</t>
        </is>
      </c>
      <c r="E942" s="20" t="n"/>
      <c r="F942" s="20" t="inlineStr">
        <is>
          <t>Útil</t>
        </is>
      </c>
    </row>
    <row r="943">
      <c r="A943" s="20" t="n">
        <v>96</v>
      </c>
      <c r="B943" s="20" t="inlineStr">
        <is>
          <t>Agencia Madrileña para el Apoyo a las Personas Adultas con Discapacidad</t>
        </is>
      </c>
      <c r="C943" s="20" t="inlineStr">
        <is>
          <t>Clasificación: veredicto</t>
        </is>
      </c>
      <c r="D943" s="20" t="inlineStr">
        <is>
          <t>BW</t>
        </is>
      </c>
      <c r="E943" s="20" t="n"/>
      <c r="F943" s="20" t="inlineStr">
        <is>
          <t>Mantener</t>
        </is>
      </c>
    </row>
    <row r="944">
      <c r="A944" s="20" t="n">
        <v>96</v>
      </c>
      <c r="B944" s="20" t="inlineStr">
        <is>
          <t>Agencia Madrileña para el Apoyo a las Personas Adultas con Discapacidad</t>
        </is>
      </c>
      <c r="C944" s="20" t="inlineStr">
        <is>
          <t>Clasificación: función</t>
        </is>
      </c>
      <c r="D944" s="20" t="inlineStr">
        <is>
          <t>BX</t>
        </is>
      </c>
      <c r="E944" s="20" t="n"/>
      <c r="F944" s="20" t="inlineStr">
        <is>
          <t>Servicio público directo</t>
        </is>
      </c>
    </row>
    <row r="945">
      <c r="A945" s="20" t="n">
        <v>96</v>
      </c>
      <c r="B945" s="20" t="inlineStr">
        <is>
          <t>Agencia Madrileña para el Apoyo a las Personas Adultas con Discapacidad</t>
        </is>
      </c>
      <c r="C945" s="20" t="inlineStr">
        <is>
          <t>Clasificación: exigida por la UE</t>
        </is>
      </c>
      <c r="D945" s="20" t="inlineStr">
        <is>
          <t>BZ</t>
        </is>
      </c>
      <c r="E945" s="20" t="n"/>
      <c r="F945" s="20" t="inlineStr">
        <is>
          <t>No</t>
        </is>
      </c>
    </row>
    <row r="946">
      <c r="A946" s="20" t="n">
        <v>96</v>
      </c>
      <c r="B946" s="20" t="inlineStr">
        <is>
          <t>Agencia Madrileña para el Apoyo a las Personas Adultas con Discapacidad</t>
        </is>
      </c>
      <c r="C946" s="20" t="inlineStr">
        <is>
          <t>Clasificación: actividad reciente</t>
        </is>
      </c>
      <c r="D946" s="20" t="inlineStr">
        <is>
          <t>CA</t>
        </is>
      </c>
      <c r="E946" s="20" t="n"/>
      <c r="F946" s="20" t="inlineStr">
        <is>
          <t>Acreditada</t>
        </is>
      </c>
    </row>
    <row r="947">
      <c r="A947" s="20" t="n">
        <v>96</v>
      </c>
      <c r="B947" s="20" t="inlineStr">
        <is>
          <t>Agencia Madrileña para el Apoyo a las Personas Adultas con Discapacidad</t>
        </is>
      </c>
      <c r="C947" s="20" t="inlineStr">
        <is>
          <t>Clasificación: motivo</t>
        </is>
      </c>
      <c r="D947" s="20" t="inlineStr">
        <is>
          <t>CB</t>
        </is>
      </c>
      <c r="E947" s="20" t="n"/>
      <c r="F947" s="20" t="inlineStr">
        <is>
          <t>Apoyo jurídico a adultos con discapacidad (148 personas): un servicio exigido por ley.</t>
        </is>
      </c>
    </row>
    <row r="948">
      <c r="A948" s="20" t="n">
        <v>96</v>
      </c>
      <c r="B948" s="20" t="inlineStr">
        <is>
          <t>Agencia Madrileña para el Apoyo a las Personas Adultas con Discapacidad</t>
        </is>
      </c>
      <c r="C948" s="20" t="inlineStr">
        <is>
          <t>Clasificación: base en el P100</t>
        </is>
      </c>
      <c r="D948" s="20" t="inlineStr">
        <is>
          <t>CC</t>
        </is>
      </c>
      <c r="E948" s="20" t="n"/>
      <c r="F948" s="20" t="inlineStr">
        <is>
          <t>Aplicando el criterio del P100: Servicio directo</t>
        </is>
      </c>
    </row>
    <row r="949">
      <c r="A949" s="20" t="n">
        <v>96</v>
      </c>
      <c r="B949" s="20" t="inlineStr">
        <is>
          <t>Agencia Madrileña para el Apoyo a las Personas Adultas con Discapacidad</t>
        </is>
      </c>
      <c r="C949" s="20" t="inlineStr">
        <is>
          <t>Tema funcional</t>
        </is>
      </c>
      <c r="D949" s="20" t="inlineStr">
        <is>
          <t>CE</t>
        </is>
      </c>
      <c r="E949" s="20" t="n"/>
      <c r="F949" s="20" t="inlineStr">
        <is>
          <t>Discapacidad: apoyo jurídico</t>
        </is>
      </c>
    </row>
    <row r="950">
      <c r="A950" s="20" t="n">
        <v>97</v>
      </c>
      <c r="B950" s="20" t="inlineStr">
        <is>
          <t>Agencia Digital de Andalucía (ADA)</t>
        </is>
      </c>
      <c r="C950" s="20" t="inlineStr">
        <is>
          <t>Clasificación: útil / no útil</t>
        </is>
      </c>
      <c r="D950" s="20" t="inlineStr">
        <is>
          <t>BV</t>
        </is>
      </c>
      <c r="E950" s="20" t="n"/>
      <c r="F950" s="20" t="inlineStr">
        <is>
          <t>No útil</t>
        </is>
      </c>
    </row>
    <row r="951">
      <c r="A951" s="20" t="n">
        <v>97</v>
      </c>
      <c r="B951" s="20" t="inlineStr">
        <is>
          <t>Agencia Digital de Andalucía (ADA)</t>
        </is>
      </c>
      <c r="C951" s="20" t="inlineStr">
        <is>
          <t>Clasificación: veredicto</t>
        </is>
      </c>
      <c r="D951" s="20" t="inlineStr">
        <is>
          <t>BW</t>
        </is>
      </c>
      <c r="E951" s="20" t="n"/>
      <c r="F951" s="20" t="inlineStr">
        <is>
          <t>Integrar</t>
        </is>
      </c>
    </row>
    <row r="952">
      <c r="A952" s="20" t="n">
        <v>97</v>
      </c>
      <c r="B952" s="20" t="inlineStr">
        <is>
          <t>Agencia Digital de Andalucía (ADA)</t>
        </is>
      </c>
      <c r="C952" s="20" t="inlineStr">
        <is>
          <t>Clasificación: función</t>
        </is>
      </c>
      <c r="D952" s="20" t="inlineStr">
        <is>
          <t>BX</t>
        </is>
      </c>
      <c r="E952" s="20" t="n"/>
      <c r="F952" s="20" t="inlineStr">
        <is>
          <t>Servicio público directo</t>
        </is>
      </c>
    </row>
    <row r="953">
      <c r="A953" s="20" t="n">
        <v>97</v>
      </c>
      <c r="B953" s="20" t="inlineStr">
        <is>
          <t>Agencia Digital de Andalucía (ADA)</t>
        </is>
      </c>
      <c r="C953" s="20" t="inlineStr">
        <is>
          <t>Clasificación: duplicidad</t>
        </is>
      </c>
      <c r="D953" s="20" t="inlineStr">
        <is>
          <t>BY</t>
        </is>
      </c>
      <c r="E953" s="20" t="n"/>
      <c r="F953" s="20" t="inlineStr">
        <is>
          <t>Competencia autonómica que el Estado no presta en ese territorio; la duplicidad es de forma (agencia propia o dirección general). 10 organismos sobre este tema entre el Estado y las CCAA (verificados).</t>
        </is>
      </c>
    </row>
    <row r="954">
      <c r="A954" s="20" t="n">
        <v>97</v>
      </c>
      <c r="B954" s="20" t="inlineStr">
        <is>
          <t>Agencia Digital de Andalucía (ADA)</t>
        </is>
      </c>
      <c r="C954" s="20" t="inlineStr">
        <is>
          <t>Clasificación: exigida por la UE</t>
        </is>
      </c>
      <c r="D954" s="20" t="inlineStr">
        <is>
          <t>BZ</t>
        </is>
      </c>
      <c r="E954" s="20" t="n"/>
      <c r="F954" s="20" t="inlineStr">
        <is>
          <t>No</t>
        </is>
      </c>
    </row>
    <row r="955">
      <c r="A955" s="20" t="n">
        <v>97</v>
      </c>
      <c r="B955" s="20" t="inlineStr">
        <is>
          <t>Agencia Digital de Andalucía (ADA)</t>
        </is>
      </c>
      <c r="C955" s="20" t="inlineStr">
        <is>
          <t>Clasificación: actividad reciente</t>
        </is>
      </c>
      <c r="D955" s="20" t="inlineStr">
        <is>
          <t>CA</t>
        </is>
      </c>
      <c r="E955" s="20" t="n"/>
      <c r="F955" s="20" t="inlineStr">
        <is>
          <t>Acreditada</t>
        </is>
      </c>
    </row>
    <row r="956">
      <c r="A956" s="20" t="n">
        <v>97</v>
      </c>
      <c r="B956" s="20" t="inlineStr">
        <is>
          <t>Agencia Digital de Andalucía (ADA)</t>
        </is>
      </c>
      <c r="C956" s="20" t="inlineStr">
        <is>
          <t>Clasificación: motivo</t>
        </is>
      </c>
      <c r="D956" s="20" t="inlineStr">
        <is>
          <t>CB</t>
        </is>
      </c>
      <c r="E956" s="20" t="n"/>
      <c r="F956" s="20" t="inlineStr">
        <is>
          <t>Agencia digital autonómica: el P100 hace una sola web y una sola aplicación para todo el Estado, a la que se suman las comunidades.</t>
        </is>
      </c>
    </row>
    <row r="957">
      <c r="A957" s="20" t="n">
        <v>97</v>
      </c>
      <c r="B957" s="20" t="inlineStr">
        <is>
          <t>Agencia Digital de Andalucía (ADA)</t>
        </is>
      </c>
      <c r="C957" s="20" t="inlineStr">
        <is>
          <t>Clasificación: base en el P100</t>
        </is>
      </c>
      <c r="D957" s="20" t="inlineStr">
        <is>
          <t>CC</t>
        </is>
      </c>
      <c r="E957" s="20" t="n"/>
      <c r="F957" s="20" t="inlineStr">
        <is>
          <t>Explícito en el P100: Organización del Estado 17 y criterio Extramuros del 12/10/2026 («con una nacional basta»)</t>
        </is>
      </c>
    </row>
    <row r="958">
      <c r="A958" s="20" t="n">
        <v>97</v>
      </c>
      <c r="B958" s="20" t="inlineStr">
        <is>
          <t>Agencia Digital de Andalucía (ADA)</t>
        </is>
      </c>
      <c r="C958" s="20" t="inlineStr">
        <is>
          <t>Clasificación: destino de sus funciones</t>
        </is>
      </c>
      <c r="D958" s="20" t="inlineStr">
        <is>
          <t>CD</t>
        </is>
      </c>
      <c r="E958" s="20" t="n"/>
      <c r="F958" s="20" t="inlineStr">
        <is>
          <t>Agencia Estatal de Administración Digital (AEAD) y web única del Estado</t>
        </is>
      </c>
    </row>
    <row r="959">
      <c r="A959" s="20" t="n">
        <v>97</v>
      </c>
      <c r="B959" s="20" t="inlineStr">
        <is>
          <t>Agencia Digital de Andalucía (ADA)</t>
        </is>
      </c>
      <c r="C959" s="20" t="inlineStr">
        <is>
          <t>Tema funcional</t>
        </is>
      </c>
      <c r="D959" s="20" t="inlineStr">
        <is>
          <t>CE</t>
        </is>
      </c>
      <c r="E959" s="20" t="n"/>
      <c r="F959" s="20" t="inlineStr">
        <is>
          <t>Agencias de administración digital y TIC</t>
        </is>
      </c>
    </row>
    <row r="960">
      <c r="A960" s="20" t="n">
        <v>97</v>
      </c>
      <c r="B960" s="20" t="inlineStr">
        <is>
          <t>Agencia Digital de Andalucía (ADA)</t>
        </is>
      </c>
      <c r="C960" s="20" t="inlineStr">
        <is>
          <t>Organismos del mismo tema (Estado + CCAA, verificados)</t>
        </is>
      </c>
      <c r="D960" s="20" t="inlineStr">
        <is>
          <t>CF</t>
        </is>
      </c>
      <c r="E960" s="20" t="n"/>
      <c r="F960" s="20" t="n">
        <v>10</v>
      </c>
    </row>
    <row r="961">
      <c r="A961" s="20" t="n">
        <v>98</v>
      </c>
      <c r="B961" s="20" t="inlineStr">
        <is>
          <t>Agencia Empresarial para la Transformación y el Desarrollo Económico (TRADE)</t>
        </is>
      </c>
      <c r="C961" s="20" t="inlineStr">
        <is>
          <t>Clasificación: útil / no útil</t>
        </is>
      </c>
      <c r="D961" s="20" t="inlineStr">
        <is>
          <t>BV</t>
        </is>
      </c>
      <c r="E961" s="20" t="n"/>
      <c r="F961" s="20" t="inlineStr">
        <is>
          <t>No útil</t>
        </is>
      </c>
    </row>
    <row r="962">
      <c r="A962" s="20" t="n">
        <v>98</v>
      </c>
      <c r="B962" s="20" t="inlineStr">
        <is>
          <t>Agencia Empresarial para la Transformación y el Desarrollo Económico (TRADE)</t>
        </is>
      </c>
      <c r="C962" s="20" t="inlineStr">
        <is>
          <t>Clasificación: veredicto</t>
        </is>
      </c>
      <c r="D962" s="20" t="inlineStr">
        <is>
          <t>BW</t>
        </is>
      </c>
      <c r="E962" s="20" t="n"/>
      <c r="F962" s="20" t="inlineStr">
        <is>
          <t>Integrar</t>
        </is>
      </c>
    </row>
    <row r="963">
      <c r="A963" s="20" t="n">
        <v>98</v>
      </c>
      <c r="B963" s="20" t="inlineStr">
        <is>
          <t>Agencia Empresarial para la Transformación y el Desarrollo Económico (TRADE)</t>
        </is>
      </c>
      <c r="C963" s="20" t="inlineStr">
        <is>
          <t>Clasificación: función</t>
        </is>
      </c>
      <c r="D963" s="20" t="inlineStr">
        <is>
          <t>BX</t>
        </is>
      </c>
      <c r="E963" s="20" t="n"/>
      <c r="F963" s="20" t="inlineStr">
        <is>
          <t>Financiación y ayudas</t>
        </is>
      </c>
    </row>
    <row r="964">
      <c r="A964" s="20" t="n">
        <v>98</v>
      </c>
      <c r="B964" s="20" t="inlineStr">
        <is>
          <t>Agencia Empresarial para la Transformación y el Desarrollo Económico (TRADE)</t>
        </is>
      </c>
      <c r="C964" s="20" t="inlineStr">
        <is>
          <t>Clasificación: exigida por la UE</t>
        </is>
      </c>
      <c r="D964" s="20" t="inlineStr">
        <is>
          <t>BZ</t>
        </is>
      </c>
      <c r="E964" s="20" t="n"/>
      <c r="F964" s="20" t="inlineStr">
        <is>
          <t>No</t>
        </is>
      </c>
    </row>
    <row r="965">
      <c r="A965" s="20" t="n">
        <v>98</v>
      </c>
      <c r="B965" s="20" t="inlineStr">
        <is>
          <t>Agencia Empresarial para la Transformación y el Desarrollo Económico (TRADE)</t>
        </is>
      </c>
      <c r="C965" s="20" t="inlineStr">
        <is>
          <t>Clasificación: actividad reciente</t>
        </is>
      </c>
      <c r="D965" s="20" t="inlineStr">
        <is>
          <t>CA</t>
        </is>
      </c>
      <c r="E965" s="20" t="n"/>
      <c r="F965" s="20" t="inlineStr">
        <is>
          <t>Acreditada</t>
        </is>
      </c>
    </row>
    <row r="966">
      <c r="A966" s="20" t="n">
        <v>98</v>
      </c>
      <c r="B966" s="20" t="inlineStr">
        <is>
          <t>Agencia Empresarial para la Transformación y el Desarrollo Económico (TRADE)</t>
        </is>
      </c>
      <c r="C966" s="20" t="inlineStr">
        <is>
          <t>Clasificación: motivo</t>
        </is>
      </c>
      <c r="D966" s="20" t="inlineStr">
        <is>
          <t>CB</t>
        </is>
      </c>
      <c r="E966" s="20" t="n"/>
      <c r="F966" s="20" t="inlineStr">
        <is>
          <t>Agencia andaluza de apoyo empresarial e internacionalización; esas funciones ya las cubren instrumentos estatales.</t>
        </is>
      </c>
    </row>
    <row r="967">
      <c r="A967" s="20" t="n">
        <v>98</v>
      </c>
      <c r="B967" s="20" t="inlineStr">
        <is>
          <t>Agencia Empresarial para la Transformación y el Desarrollo Económico (TRADE)</t>
        </is>
      </c>
      <c r="C967" s="20" t="inlineStr">
        <is>
          <t>Clasificación: base en el P100</t>
        </is>
      </c>
      <c r="D967" s="20" t="inlineStr">
        <is>
          <t>CC</t>
        </is>
      </c>
      <c r="E967" s="20" t="n"/>
      <c r="F967" s="20" t="inlineStr">
        <is>
          <t>Aplicando el criterio del P100: Criterio Extramuros del 12/10/2026 y Crecer y producir 5</t>
        </is>
      </c>
    </row>
    <row r="968">
      <c r="A968" s="20" t="n">
        <v>98</v>
      </c>
      <c r="B968" s="20" t="inlineStr">
        <is>
          <t>Agencia Empresarial para la Transformación y el Desarrollo Económico (TRADE)</t>
        </is>
      </c>
      <c r="C968" s="20" t="inlineStr">
        <is>
          <t>Clasificación: destino de sus funciones</t>
        </is>
      </c>
      <c r="D968" s="20" t="inlineStr">
        <is>
          <t>CD</t>
        </is>
      </c>
      <c r="E968" s="20" t="n"/>
      <c r="F968" s="20" t="inlineStr">
        <is>
          <t>Consejería competente e instrumentos estatales (ICO, ENISA y CDTI, E.P.E.)</t>
        </is>
      </c>
    </row>
    <row r="969">
      <c r="A969" s="20" t="n">
        <v>98</v>
      </c>
      <c r="B969" s="20" t="inlineStr">
        <is>
          <t>Agencia Empresarial para la Transformación y el Desarrollo Económico (TRADE)</t>
        </is>
      </c>
      <c r="C969" s="20" t="inlineStr">
        <is>
          <t>Tema funcional</t>
        </is>
      </c>
      <c r="D969" s="20" t="inlineStr">
        <is>
          <t>CE</t>
        </is>
      </c>
      <c r="E969" s="20" t="n"/>
      <c r="F969" s="20" t="inlineStr">
        <is>
          <t>Desarrollo empresarial</t>
        </is>
      </c>
    </row>
    <row r="970">
      <c r="A970" s="20" t="n">
        <v>99</v>
      </c>
      <c r="B970" s="20" t="inlineStr">
        <is>
          <t>Agencia para la Calidad Científica y Universitaria de Andalucía (ACCUA)</t>
        </is>
      </c>
      <c r="C970" s="20" t="inlineStr">
        <is>
          <t>Clasificación: útil / no útil</t>
        </is>
      </c>
      <c r="D970" s="20" t="inlineStr">
        <is>
          <t>BV</t>
        </is>
      </c>
      <c r="E970" s="20" t="n"/>
      <c r="F970" s="20" t="inlineStr">
        <is>
          <t>No útil</t>
        </is>
      </c>
    </row>
    <row r="971">
      <c r="A971" s="20" t="n">
        <v>99</v>
      </c>
      <c r="B971" s="20" t="inlineStr">
        <is>
          <t>Agencia para la Calidad Científica y Universitaria de Andalucía (ACCUA)</t>
        </is>
      </c>
      <c r="C971" s="20" t="inlineStr">
        <is>
          <t>Clasificación: veredicto</t>
        </is>
      </c>
      <c r="D971" s="20" t="inlineStr">
        <is>
          <t>BW</t>
        </is>
      </c>
      <c r="E971" s="20" t="n"/>
      <c r="F971" s="20" t="inlineStr">
        <is>
          <t>Integrar</t>
        </is>
      </c>
    </row>
    <row r="972">
      <c r="A972" s="20" t="n">
        <v>99</v>
      </c>
      <c r="B972" s="20" t="inlineStr">
        <is>
          <t>Agencia para la Calidad Científica y Universitaria de Andalucía (ACCUA)</t>
        </is>
      </c>
      <c r="C972" s="20" t="inlineStr">
        <is>
          <t>Clasificación: función</t>
        </is>
      </c>
      <c r="D972" s="20" t="inlineStr">
        <is>
          <t>BX</t>
        </is>
      </c>
      <c r="E972" s="20" t="n"/>
      <c r="F972" s="20" t="inlineStr">
        <is>
          <t>Control interno y cumplimiento</t>
        </is>
      </c>
    </row>
    <row r="973">
      <c r="A973" s="20" t="n">
        <v>99</v>
      </c>
      <c r="B973" s="20" t="inlineStr">
        <is>
          <t>Agencia para la Calidad Científica y Universitaria de Andalucía (ACCUA)</t>
        </is>
      </c>
      <c r="C973" s="20" t="inlineStr">
        <is>
          <t>Clasificación: duplicidad</t>
        </is>
      </c>
      <c r="D973" s="20" t="inlineStr">
        <is>
          <t>BY</t>
        </is>
      </c>
      <c r="E973" s="20" t="n"/>
      <c r="F973" s="20" t="inlineStr">
        <is>
          <t>Duplica a ANECA, que ya cubre este territorio o puede hacerlo. 11 organismos sobre este tema entre el Estado y las CCAA (verificados).</t>
        </is>
      </c>
    </row>
    <row r="974">
      <c r="A974" s="20" t="n">
        <v>99</v>
      </c>
      <c r="B974" s="20" t="inlineStr">
        <is>
          <t>Agencia para la Calidad Científica y Universitaria de Andalucía (ACCUA)</t>
        </is>
      </c>
      <c r="C974" s="20" t="inlineStr">
        <is>
          <t>Clasificación: exigida por la UE</t>
        </is>
      </c>
      <c r="D974" s="20" t="inlineStr">
        <is>
          <t>BZ</t>
        </is>
      </c>
      <c r="E974" s="20" t="n"/>
      <c r="F974" s="20" t="inlineStr">
        <is>
          <t>No</t>
        </is>
      </c>
    </row>
    <row r="975">
      <c r="A975" s="20" t="n">
        <v>99</v>
      </c>
      <c r="B975" s="20" t="inlineStr">
        <is>
          <t>Agencia para la Calidad Científica y Universitaria de Andalucía (ACCUA)</t>
        </is>
      </c>
      <c r="C975" s="20" t="inlineStr">
        <is>
          <t>Clasificación: actividad reciente</t>
        </is>
      </c>
      <c r="D975" s="20" t="inlineStr">
        <is>
          <t>CA</t>
        </is>
      </c>
      <c r="E975" s="20" t="n"/>
      <c r="F975" s="20" t="inlineStr">
        <is>
          <t>Acreditada</t>
        </is>
      </c>
    </row>
    <row r="976">
      <c r="A976" s="20" t="n">
        <v>99</v>
      </c>
      <c r="B976" s="20" t="inlineStr">
        <is>
          <t>Agencia para la Calidad Científica y Universitaria de Andalucía (ACCUA)</t>
        </is>
      </c>
      <c r="C976" s="20" t="inlineStr">
        <is>
          <t>Clasificación: motivo</t>
        </is>
      </c>
      <c r="D976" s="20" t="inlineStr">
        <is>
          <t>CB</t>
        </is>
      </c>
      <c r="E976" s="20" t="n"/>
      <c r="F976" s="20" t="inlineStr">
        <is>
          <t>Agencia autonómica de calidad universitaria; ANECA ya evalúa en las siete comunidades sin agencia propia.</t>
        </is>
      </c>
    </row>
    <row r="977">
      <c r="A977" s="20" t="n">
        <v>99</v>
      </c>
      <c r="B977" s="20" t="inlineStr">
        <is>
          <t>Agencia para la Calidad Científica y Universitaria de Andalucía (ACCUA)</t>
        </is>
      </c>
      <c r="C977" s="20" t="inlineStr">
        <is>
          <t>Clasificación: base en el P100</t>
        </is>
      </c>
      <c r="D977" s="20" t="inlineStr">
        <is>
          <t>CC</t>
        </is>
      </c>
      <c r="E977" s="20" t="n"/>
      <c r="F977" s="20" t="inlineStr">
        <is>
          <t>Aplicando el criterio del P100: Criterio Extramuros del 12/10/2026</t>
        </is>
      </c>
    </row>
    <row r="978">
      <c r="A978" s="20" t="n">
        <v>99</v>
      </c>
      <c r="B978" s="20" t="inlineStr">
        <is>
          <t>Agencia para la Calidad Científica y Universitaria de Andalucía (ACCUA)</t>
        </is>
      </c>
      <c r="C978" s="20" t="inlineStr">
        <is>
          <t>Clasificación: destino de sus funciones</t>
        </is>
      </c>
      <c r="D978" s="20" t="inlineStr">
        <is>
          <t>CD</t>
        </is>
      </c>
      <c r="E978" s="20" t="n"/>
      <c r="F978" s="20" t="inlineStr">
        <is>
          <t>Agencia Nacional de Evaluación de la Calidad y Acreditación (ANECA)</t>
        </is>
      </c>
    </row>
    <row r="979">
      <c r="A979" s="20" t="n">
        <v>99</v>
      </c>
      <c r="B979" s="20" t="inlineStr">
        <is>
          <t>Agencia para la Calidad Científica y Universitaria de Andalucía (ACCUA)</t>
        </is>
      </c>
      <c r="C979" s="20" t="inlineStr">
        <is>
          <t>Tema funcional</t>
        </is>
      </c>
      <c r="D979" s="20" t="inlineStr">
        <is>
          <t>CE</t>
        </is>
      </c>
      <c r="E979" s="20" t="n"/>
      <c r="F979" s="20" t="inlineStr">
        <is>
          <t>Agencias de calidad universitaria</t>
        </is>
      </c>
    </row>
    <row r="980">
      <c r="A980" s="20" t="n">
        <v>99</v>
      </c>
      <c r="B980" s="20" t="inlineStr">
        <is>
          <t>Agencia para la Calidad Científica y Universitaria de Andalucía (ACCUA)</t>
        </is>
      </c>
      <c r="C980" s="20" t="inlineStr">
        <is>
          <t>Organismos del mismo tema (Estado + CCAA, verificados)</t>
        </is>
      </c>
      <c r="D980" s="20" t="inlineStr">
        <is>
          <t>CF</t>
        </is>
      </c>
      <c r="E980" s="20" t="n"/>
      <c r="F980" s="20" t="n">
        <v>11</v>
      </c>
    </row>
    <row r="981">
      <c r="A981" s="20" t="n">
        <v>100</v>
      </c>
      <c r="B981" s="20" t="inlineStr">
        <is>
          <t>Instituto de Salud de Andalucía (ISA)</t>
        </is>
      </c>
      <c r="C981" s="20" t="inlineStr">
        <is>
          <t>Clasificación: útil / no útil</t>
        </is>
      </c>
      <c r="D981" s="20" t="inlineStr">
        <is>
          <t>BV</t>
        </is>
      </c>
      <c r="E981" s="20" t="n"/>
      <c r="F981" s="20" t="inlineStr">
        <is>
          <t>No útil</t>
        </is>
      </c>
    </row>
    <row r="982">
      <c r="A982" s="20" t="n">
        <v>100</v>
      </c>
      <c r="B982" s="20" t="inlineStr">
        <is>
          <t>Instituto de Salud de Andalucía (ISA)</t>
        </is>
      </c>
      <c r="C982" s="20" t="inlineStr">
        <is>
          <t>Clasificación: veredicto</t>
        </is>
      </c>
      <c r="D982" s="20" t="inlineStr">
        <is>
          <t>BW</t>
        </is>
      </c>
      <c r="E982" s="20" t="n"/>
      <c r="F982" s="20" t="inlineStr">
        <is>
          <t>Suprimir</t>
        </is>
      </c>
    </row>
    <row r="983">
      <c r="A983" s="20" t="n">
        <v>100</v>
      </c>
      <c r="B983" s="20" t="inlineStr">
        <is>
          <t>Instituto de Salud de Andalucía (ISA)</t>
        </is>
      </c>
      <c r="C983" s="20" t="inlineStr">
        <is>
          <t>Clasificación: función</t>
        </is>
      </c>
      <c r="D983" s="20" t="inlineStr">
        <is>
          <t>BX</t>
        </is>
      </c>
      <c r="E983" s="20" t="n"/>
      <c r="F983" s="20" t="inlineStr">
        <is>
          <t>Servicio público directo</t>
        </is>
      </c>
    </row>
    <row r="984">
      <c r="A984" s="20" t="n">
        <v>100</v>
      </c>
      <c r="B984" s="20" t="inlineStr">
        <is>
          <t>Instituto de Salud de Andalucía (ISA)</t>
        </is>
      </c>
      <c r="C984" s="20" t="inlineStr">
        <is>
          <t>Clasificación: duplicidad</t>
        </is>
      </c>
      <c r="D984" s="20" t="inlineStr">
        <is>
          <t>BY</t>
        </is>
      </c>
      <c r="E984" s="20" t="n"/>
      <c r="F984" s="20" t="inlineStr">
        <is>
          <t>Paralelo a AESAP: cada nivel actúa con sus propios fondos o competencias. 5 organismos sobre este tema entre el Estado y las CCAA (verificados).</t>
        </is>
      </c>
    </row>
    <row r="985">
      <c r="A985" s="20" t="n">
        <v>100</v>
      </c>
      <c r="B985" s="20" t="inlineStr">
        <is>
          <t>Instituto de Salud de Andalucía (ISA)</t>
        </is>
      </c>
      <c r="C985" s="20" t="inlineStr">
        <is>
          <t>Clasificación: exigida por la UE</t>
        </is>
      </c>
      <c r="D985" s="20" t="inlineStr">
        <is>
          <t>BZ</t>
        </is>
      </c>
      <c r="E985" s="20" t="n"/>
      <c r="F985" s="20" t="inlineStr">
        <is>
          <t>No</t>
        </is>
      </c>
    </row>
    <row r="986">
      <c r="A986" s="20" t="n">
        <v>100</v>
      </c>
      <c r="B986" s="20" t="inlineStr">
        <is>
          <t>Instituto de Salud de Andalucía (ISA)</t>
        </is>
      </c>
      <c r="C986" s="20" t="inlineStr">
        <is>
          <t>Clasificación: actividad reciente</t>
        </is>
      </c>
      <c r="D986" s="20" t="inlineStr">
        <is>
          <t>CA</t>
        </is>
      </c>
      <c r="E986" s="20" t="n"/>
      <c r="F986" s="20" t="inlineStr">
        <is>
          <t>No acreditada</t>
        </is>
      </c>
    </row>
    <row r="987">
      <c r="A987" s="20" t="n">
        <v>100</v>
      </c>
      <c r="B987" s="20" t="inlineStr">
        <is>
          <t>Instituto de Salud de Andalucía (ISA)</t>
        </is>
      </c>
      <c r="C987" s="20" t="inlineStr">
        <is>
          <t>Clasificación: motivo</t>
        </is>
      </c>
      <c r="D987" s="20" t="inlineStr">
        <is>
          <t>CB</t>
        </is>
      </c>
      <c r="E987" s="20" t="n"/>
      <c r="F987" s="20" t="inlineStr">
        <is>
          <t>No ha arrancado: 0 € de gasto de personal en 2025 y a marzo de 2026. Suprimirla cuesta menos que ponerla en marcha.</t>
        </is>
      </c>
    </row>
    <row r="988">
      <c r="A988" s="20" t="n">
        <v>100</v>
      </c>
      <c r="B988" s="20" t="inlineStr">
        <is>
          <t>Instituto de Salud de Andalucía (ISA)</t>
        </is>
      </c>
      <c r="C988" s="20" t="inlineStr">
        <is>
          <t>Clasificación: base en el P100</t>
        </is>
      </c>
      <c r="D988" s="20" t="inlineStr">
        <is>
          <t>CC</t>
        </is>
      </c>
      <c r="E988" s="20" t="n"/>
      <c r="F988" s="20" t="inlineStr">
        <is>
          <t>Aplicando el criterio del P100: Costes del Estado 9 (aplicado a las CCAA)</t>
        </is>
      </c>
    </row>
    <row r="989">
      <c r="A989" s="20" t="n">
        <v>100</v>
      </c>
      <c r="B989" s="20" t="inlineStr">
        <is>
          <t>Instituto de Salud de Andalucía (ISA)</t>
        </is>
      </c>
      <c r="C989" s="20" t="inlineStr">
        <is>
          <t>Clasificación: destino de sus funciones</t>
        </is>
      </c>
      <c r="D989" s="20" t="inlineStr">
        <is>
          <t>CD</t>
        </is>
      </c>
      <c r="E989" s="20" t="n"/>
      <c r="F989" s="20" t="inlineStr">
        <is>
          <t>Consejería de Sanidad de la comunidad autónoma</t>
        </is>
      </c>
    </row>
    <row r="990">
      <c r="A990" s="20" t="n">
        <v>100</v>
      </c>
      <c r="B990" s="20" t="inlineStr">
        <is>
          <t>Instituto de Salud de Andalucía (ISA)</t>
        </is>
      </c>
      <c r="C990" s="20" t="inlineStr">
        <is>
          <t>Tema funcional</t>
        </is>
      </c>
      <c r="D990" s="20" t="inlineStr">
        <is>
          <t>CE</t>
        </is>
      </c>
      <c r="E990" s="20" t="n"/>
      <c r="F990" s="20" t="inlineStr">
        <is>
          <t>Agencias de salud pública</t>
        </is>
      </c>
    </row>
    <row r="991">
      <c r="A991" s="20" t="n">
        <v>100</v>
      </c>
      <c r="B991" s="20" t="inlineStr">
        <is>
          <t>Instituto de Salud de Andalucía (ISA)</t>
        </is>
      </c>
      <c r="C991" s="20" t="inlineStr">
        <is>
          <t>Organismos del mismo tema (Estado + CCAA, verificados)</t>
        </is>
      </c>
      <c r="D991" s="20" t="inlineStr">
        <is>
          <t>CF</t>
        </is>
      </c>
      <c r="E991" s="20" t="n"/>
      <c r="F991" s="20" t="n">
        <v>5</v>
      </c>
    </row>
    <row r="992">
      <c r="A992" s="20" t="n">
        <v>101</v>
      </c>
      <c r="B992" s="20" t="inlineStr">
        <is>
          <t>Agencia de Emergencias de Andalucía (antes ASGIE)</t>
        </is>
      </c>
      <c r="C992" s="20" t="inlineStr">
        <is>
          <t>Clasificación: útil / no útil</t>
        </is>
      </c>
      <c r="D992" s="20" t="inlineStr">
        <is>
          <t>BV</t>
        </is>
      </c>
      <c r="E992" s="20" t="n"/>
      <c r="F992" s="20" t="inlineStr">
        <is>
          <t>Útil</t>
        </is>
      </c>
    </row>
    <row r="993">
      <c r="A993" s="20" t="n">
        <v>101</v>
      </c>
      <c r="B993" s="20" t="inlineStr">
        <is>
          <t>Agencia de Emergencias de Andalucía (antes ASGIE)</t>
        </is>
      </c>
      <c r="C993" s="20" t="inlineStr">
        <is>
          <t>Clasificación: veredicto</t>
        </is>
      </c>
      <c r="D993" s="20" t="inlineStr">
        <is>
          <t>BW</t>
        </is>
      </c>
      <c r="E993" s="20" t="n"/>
      <c r="F993" s="20" t="inlineStr">
        <is>
          <t>Mantener</t>
        </is>
      </c>
    </row>
    <row r="994">
      <c r="A994" s="20" t="n">
        <v>101</v>
      </c>
      <c r="B994" s="20" t="inlineStr">
        <is>
          <t>Agencia de Emergencias de Andalucía (antes ASGIE)</t>
        </is>
      </c>
      <c r="C994" s="20" t="inlineStr">
        <is>
          <t>Clasificación: función</t>
        </is>
      </c>
      <c r="D994" s="20" t="inlineStr">
        <is>
          <t>BX</t>
        </is>
      </c>
      <c r="E994" s="20" t="n"/>
      <c r="F994" s="20" t="inlineStr">
        <is>
          <t>Servicio público directo</t>
        </is>
      </c>
    </row>
    <row r="995">
      <c r="A995" s="20" t="n">
        <v>101</v>
      </c>
      <c r="B995" s="20" t="inlineStr">
        <is>
          <t>Agencia de Emergencias de Andalucía (antes ASGIE)</t>
        </is>
      </c>
      <c r="C995" s="20" t="inlineStr">
        <is>
          <t>Clasificación: duplicidad</t>
        </is>
      </c>
      <c r="D995" s="20" t="inlineStr">
        <is>
          <t>BY</t>
        </is>
      </c>
      <c r="E995" s="20" t="n"/>
      <c r="F995" s="20" t="inlineStr">
        <is>
          <t>Competencia autonómica que el Estado no presta en ese territorio; la duplicidad es de forma (agencia propia o dirección general). 9 organismos sobre este tema entre el Estado y las CCAA (verificados).</t>
        </is>
      </c>
    </row>
    <row r="996">
      <c r="A996" s="20" t="n">
        <v>101</v>
      </c>
      <c r="B996" s="20" t="inlineStr">
        <is>
          <t>Agencia de Emergencias de Andalucía (antes ASGIE)</t>
        </is>
      </c>
      <c r="C996" s="20" t="inlineStr">
        <is>
          <t>Clasificación: exigida por la UE</t>
        </is>
      </c>
      <c r="D996" s="20" t="inlineStr">
        <is>
          <t>BZ</t>
        </is>
      </c>
      <c r="E996" s="20" t="n"/>
      <c r="F996" s="20" t="inlineStr">
        <is>
          <t>No</t>
        </is>
      </c>
    </row>
    <row r="997">
      <c r="A997" s="20" t="n">
        <v>101</v>
      </c>
      <c r="B997" s="20" t="inlineStr">
        <is>
          <t>Agencia de Emergencias de Andalucía (antes ASGIE)</t>
        </is>
      </c>
      <c r="C997" s="20" t="inlineStr">
        <is>
          <t>Clasificación: actividad reciente</t>
        </is>
      </c>
      <c r="D997" s="20" t="inlineStr">
        <is>
          <t>CA</t>
        </is>
      </c>
      <c r="E997" s="20" t="n"/>
      <c r="F997" s="20" t="inlineStr">
        <is>
          <t>Acreditada</t>
        </is>
      </c>
    </row>
    <row r="998">
      <c r="A998" s="20" t="n">
        <v>101</v>
      </c>
      <c r="B998" s="20" t="inlineStr">
        <is>
          <t>Agencia de Emergencias de Andalucía (antes ASGIE)</t>
        </is>
      </c>
      <c r="C998" s="20" t="inlineStr">
        <is>
          <t>Clasificación: motivo</t>
        </is>
      </c>
      <c r="D998" s="20" t="inlineStr">
        <is>
          <t>CB</t>
        </is>
      </c>
      <c r="E998" s="20" t="n"/>
      <c r="F998" s="20"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row>
    <row r="999">
      <c r="A999" s="20" t="n">
        <v>101</v>
      </c>
      <c r="B999" s="20" t="inlineStr">
        <is>
          <t>Agencia de Emergencias de Andalucía (antes ASGIE)</t>
        </is>
      </c>
      <c r="C999" s="20" t="inlineStr">
        <is>
          <t>Clasificación: base en el P100</t>
        </is>
      </c>
      <c r="D999" s="20" t="inlineStr">
        <is>
          <t>CC</t>
        </is>
      </c>
      <c r="E999" s="20" t="n"/>
      <c r="F999" s="20" t="inlineStr">
        <is>
          <t>Aplicando el criterio del P100: Servicio directo que el Estado no presta</t>
        </is>
      </c>
    </row>
    <row r="1000">
      <c r="A1000" s="20" t="n">
        <v>101</v>
      </c>
      <c r="B1000" s="20" t="inlineStr">
        <is>
          <t>Agencia de Emergencias de Andalucía (antes ASGIE)</t>
        </is>
      </c>
      <c r="C1000" s="20" t="inlineStr">
        <is>
          <t>Tema funcional</t>
        </is>
      </c>
      <c r="D1000" s="20" t="inlineStr">
        <is>
          <t>CE</t>
        </is>
      </c>
      <c r="E1000" s="20" t="n"/>
      <c r="F1000" s="20" t="inlineStr">
        <is>
          <t>Entes de emergencias 112</t>
        </is>
      </c>
    </row>
    <row r="1001">
      <c r="A1001" s="20" t="n">
        <v>101</v>
      </c>
      <c r="B1001" s="20" t="inlineStr">
        <is>
          <t>Agencia de Emergencias de Andalucía (antes ASGIE)</t>
        </is>
      </c>
      <c r="C1001" s="20" t="inlineStr">
        <is>
          <t>Organismos del mismo tema (Estado + CCAA, verificados)</t>
        </is>
      </c>
      <c r="D1001" s="20" t="inlineStr">
        <is>
          <t>CF</t>
        </is>
      </c>
      <c r="E1001" s="20" t="n"/>
      <c r="F1001" s="20" t="n">
        <v>9</v>
      </c>
    </row>
    <row r="1002">
      <c r="A1002" s="20" t="n">
        <v>102</v>
      </c>
      <c r="B1002" s="20" t="inlineStr">
        <is>
          <t>Agència de la Natura de Catalunya (ANC)</t>
        </is>
      </c>
      <c r="C1002" s="20" t="inlineStr">
        <is>
          <t>Estado de cuantificación</t>
        </is>
      </c>
      <c r="D1002" s="20" t="inlineStr">
        <is>
          <t>O</t>
        </is>
      </c>
      <c r="E1002" s="20" t="inlineStr">
        <is>
          <t>Sin cifra propia actual verificada</t>
        </is>
      </c>
      <c r="F1002" s="20" t="inlineStr">
        <is>
          <t>Sin presupuesto propio 2026: no figura en la ley de presupuestos (entidad no desplegada)</t>
        </is>
      </c>
    </row>
    <row r="1003">
      <c r="A1003" s="20" t="n">
        <v>102</v>
      </c>
      <c r="B1003" s="20" t="inlineStr">
        <is>
          <t>Agència de la Natura de Catalunya (ANC)</t>
        </is>
      </c>
      <c r="C1003" s="20" t="inlineStr">
        <is>
          <t>Clasificación: útil / no útil</t>
        </is>
      </c>
      <c r="D1003" s="20" t="inlineStr">
        <is>
          <t>BV</t>
        </is>
      </c>
      <c r="E1003" s="20" t="n"/>
      <c r="F1003" s="20" t="inlineStr">
        <is>
          <t>Extinguida</t>
        </is>
      </c>
    </row>
    <row r="1004">
      <c r="A1004" s="20" t="n">
        <v>102</v>
      </c>
      <c r="B1004" s="20" t="inlineStr">
        <is>
          <t>Agència de la Natura de Catalunya (ANC)</t>
        </is>
      </c>
      <c r="C1004" s="20" t="inlineStr">
        <is>
          <t>Clasificación: veredicto</t>
        </is>
      </c>
      <c r="D1004" s="20" t="inlineStr">
        <is>
          <t>BW</t>
        </is>
      </c>
      <c r="E1004" s="20" t="n"/>
      <c r="F1004" s="20" t="inlineStr">
        <is>
          <t>Extinguida</t>
        </is>
      </c>
    </row>
    <row r="1005">
      <c r="A1005" s="20" t="n">
        <v>102</v>
      </c>
      <c r="B1005" s="20" t="inlineStr">
        <is>
          <t>Agència de la Natura de Catalunya (ANC)</t>
        </is>
      </c>
      <c r="C1005" s="20" t="inlineStr">
        <is>
          <t>Clasificación: función</t>
        </is>
      </c>
      <c r="D1005" s="20" t="inlineStr">
        <is>
          <t>BX</t>
        </is>
      </c>
      <c r="E1005" s="20" t="n"/>
      <c r="F1005" s="20" t="inlineStr">
        <is>
          <t>Extinguida o no constituida</t>
        </is>
      </c>
    </row>
    <row r="1006">
      <c r="A1006" s="20" t="n">
        <v>102</v>
      </c>
      <c r="B1006" s="20" t="inlineStr">
        <is>
          <t>Agència de la Natura de Catalunya (ANC)</t>
        </is>
      </c>
      <c r="C1006" s="20" t="inlineStr">
        <is>
          <t>Clasificación: exigida por la UE</t>
        </is>
      </c>
      <c r="D1006" s="20" t="inlineStr">
        <is>
          <t>BZ</t>
        </is>
      </c>
      <c r="E1006" s="20" t="n"/>
      <c r="F1006" s="20" t="inlineStr">
        <is>
          <t>No</t>
        </is>
      </c>
    </row>
    <row r="1007">
      <c r="A1007" s="20" t="n">
        <v>102</v>
      </c>
      <c r="B1007" s="20" t="inlineStr">
        <is>
          <t>Agència de la Natura de Catalunya (ANC)</t>
        </is>
      </c>
      <c r="C1007" s="20" t="inlineStr">
        <is>
          <t>Clasificación: actividad reciente</t>
        </is>
      </c>
      <c r="D1007" s="20" t="inlineStr">
        <is>
          <t>CA</t>
        </is>
      </c>
      <c r="E1007" s="20" t="n"/>
      <c r="F1007" s="20" t="inlineStr">
        <is>
          <t>No aplica (no vigente)</t>
        </is>
      </c>
    </row>
    <row r="1008">
      <c r="A1008" s="20" t="n">
        <v>102</v>
      </c>
      <c r="B1008" s="20" t="inlineStr">
        <is>
          <t>Agència de la Natura de Catalunya (ANC)</t>
        </is>
      </c>
      <c r="C1008" s="20" t="inlineStr">
        <is>
          <t>Clasificación: motivo</t>
        </is>
      </c>
      <c r="D1008" s="20" t="inlineStr">
        <is>
          <t>CB</t>
        </is>
      </c>
      <c r="E1008" s="20" t="n"/>
      <c r="F1008" s="20" t="inlineStr">
        <is>
          <t>Creada por ley en 2020, sin desplegar y sin presupuesto en 2026.</t>
        </is>
      </c>
    </row>
    <row r="1009">
      <c r="A1009" s="20" t="n">
        <v>102</v>
      </c>
      <c r="B1009" s="20" t="inlineStr">
        <is>
          <t>Agència de la Natura de Catalunya (ANC)</t>
        </is>
      </c>
      <c r="C1009" s="20" t="inlineStr">
        <is>
          <t>Tema funcional</t>
        </is>
      </c>
      <c r="D1009" s="20" t="inlineStr">
        <is>
          <t>CE</t>
        </is>
      </c>
      <c r="E1009" s="20" t="n"/>
      <c r="F1009" s="20" t="inlineStr">
        <is>
          <t>Espacios naturales</t>
        </is>
      </c>
    </row>
    <row r="1010">
      <c r="A1010" s="20" t="n">
        <v>103</v>
      </c>
      <c r="B1010" s="20" t="inlineStr">
        <is>
          <t>Agencia Valenciana de Protección del Territorio (AVPT)</t>
        </is>
      </c>
      <c r="C1010" s="20" t="inlineStr">
        <is>
          <t>Clasificación: útil / no útil</t>
        </is>
      </c>
      <c r="D1010" s="20" t="inlineStr">
        <is>
          <t>BV</t>
        </is>
      </c>
      <c r="E1010" s="20" t="n"/>
      <c r="F1010" s="20" t="inlineStr">
        <is>
          <t>Útil</t>
        </is>
      </c>
    </row>
    <row r="1011">
      <c r="A1011" s="20" t="n">
        <v>103</v>
      </c>
      <c r="B1011" s="20" t="inlineStr">
        <is>
          <t>Agencia Valenciana de Protección del Territorio (AVPT)</t>
        </is>
      </c>
      <c r="C1011" s="20" t="inlineStr">
        <is>
          <t>Clasificación: veredicto</t>
        </is>
      </c>
      <c r="D1011" s="20" t="inlineStr">
        <is>
          <t>BW</t>
        </is>
      </c>
      <c r="E1011" s="20" t="n"/>
      <c r="F1011" s="20" t="inlineStr">
        <is>
          <t>Mantener</t>
        </is>
      </c>
    </row>
    <row r="1012">
      <c r="A1012" s="20" t="n">
        <v>103</v>
      </c>
      <c r="B1012" s="20" t="inlineStr">
        <is>
          <t>Agencia Valenciana de Protección del Territorio (AVPT)</t>
        </is>
      </c>
      <c r="C1012" s="20" t="inlineStr">
        <is>
          <t>Clasificación: función</t>
        </is>
      </c>
      <c r="D1012" s="20" t="inlineStr">
        <is>
          <t>BX</t>
        </is>
      </c>
      <c r="E1012" s="20" t="n"/>
      <c r="F1012" s="20" t="inlineStr">
        <is>
          <t>Regulación o inspección de terceros</t>
        </is>
      </c>
    </row>
    <row r="1013">
      <c r="A1013" s="20" t="n">
        <v>103</v>
      </c>
      <c r="B1013" s="20" t="inlineStr">
        <is>
          <t>Agencia Valenciana de Protección del Territorio (AVPT)</t>
        </is>
      </c>
      <c r="C1013" s="20" t="inlineStr">
        <is>
          <t>Clasificación: exigida por la UE</t>
        </is>
      </c>
      <c r="D1013" s="20" t="inlineStr">
        <is>
          <t>BZ</t>
        </is>
      </c>
      <c r="E1013" s="20" t="n"/>
      <c r="F1013" s="20" t="inlineStr">
        <is>
          <t>No</t>
        </is>
      </c>
    </row>
    <row r="1014">
      <c r="A1014" s="20" t="n">
        <v>103</v>
      </c>
      <c r="B1014" s="20" t="inlineStr">
        <is>
          <t>Agencia Valenciana de Protección del Territorio (AVPT)</t>
        </is>
      </c>
      <c r="C1014" s="20" t="inlineStr">
        <is>
          <t>Clasificación: actividad reciente</t>
        </is>
      </c>
      <c r="D1014" s="20" t="inlineStr">
        <is>
          <t>CA</t>
        </is>
      </c>
      <c r="E1014" s="20" t="n"/>
      <c r="F1014" s="20" t="inlineStr">
        <is>
          <t>Parcial</t>
        </is>
      </c>
    </row>
    <row r="1015">
      <c r="A1015" s="20" t="n">
        <v>103</v>
      </c>
      <c r="B1015" s="20" t="inlineStr">
        <is>
          <t>Agencia Valenciana de Protección del Territorio (AVPT)</t>
        </is>
      </c>
      <c r="C1015" s="20" t="inlineStr">
        <is>
          <t>Clasificación: motivo</t>
        </is>
      </c>
      <c r="D1015" s="20" t="inlineStr">
        <is>
          <t>CB</t>
        </is>
      </c>
      <c r="E1015" s="20" t="n"/>
      <c r="F1015" s="20" t="inlineStr">
        <is>
          <t>Persigue las infracciones urbanísticas graves.</t>
        </is>
      </c>
    </row>
    <row r="1016">
      <c r="A1016" s="20" t="n">
        <v>103</v>
      </c>
      <c r="B1016" s="20" t="inlineStr">
        <is>
          <t>Agencia Valenciana de Protección del Territorio (AVPT)</t>
        </is>
      </c>
      <c r="C1016" s="20" t="inlineStr">
        <is>
          <t>Clasificación: base en el P100</t>
        </is>
      </c>
      <c r="D1016" s="20" t="inlineStr">
        <is>
          <t>CC</t>
        </is>
      </c>
      <c r="E1016" s="20" t="n"/>
      <c r="F1016" s="20" t="inlineStr">
        <is>
          <t>Aplicando el criterio del P100: Función técnica y sancionadora</t>
        </is>
      </c>
    </row>
    <row r="1017">
      <c r="A1017" s="20" t="n">
        <v>103</v>
      </c>
      <c r="B1017" s="20" t="inlineStr">
        <is>
          <t>Agencia Valenciana de Protección del Territorio (AVPT)</t>
        </is>
      </c>
      <c r="C1017" s="20" t="inlineStr">
        <is>
          <t>Tema funcional</t>
        </is>
      </c>
      <c r="D1017" s="20" t="inlineStr">
        <is>
          <t>CE</t>
        </is>
      </c>
      <c r="E1017" s="20" t="n"/>
      <c r="F1017" s="20" t="inlineStr">
        <is>
          <t>Disciplina urbanística</t>
        </is>
      </c>
    </row>
    <row r="1018">
      <c r="A1018" s="20" t="n">
        <v>104</v>
      </c>
      <c r="B1018" s="20" t="inlineStr">
        <is>
          <t>Agència Valenciana de Seguretat Ferroviària (AVSF)</t>
        </is>
      </c>
      <c r="C1018" s="20" t="inlineStr">
        <is>
          <t>Clasificación: útil / no útil</t>
        </is>
      </c>
      <c r="D1018" s="20" t="inlineStr">
        <is>
          <t>BV</t>
        </is>
      </c>
      <c r="E1018" s="20" t="n"/>
      <c r="F1018" s="20" t="inlineStr">
        <is>
          <t>No útil</t>
        </is>
      </c>
    </row>
    <row r="1019">
      <c r="A1019" s="20" t="n">
        <v>104</v>
      </c>
      <c r="B1019" s="20" t="inlineStr">
        <is>
          <t>Agència Valenciana de Seguretat Ferroviària (AVSF)</t>
        </is>
      </c>
      <c r="C1019" s="20" t="inlineStr">
        <is>
          <t>Clasificación: veredicto</t>
        </is>
      </c>
      <c r="D1019" s="20" t="inlineStr">
        <is>
          <t>BW</t>
        </is>
      </c>
      <c r="E1019" s="20" t="n"/>
      <c r="F1019" s="20" t="inlineStr">
        <is>
          <t>Integrar</t>
        </is>
      </c>
    </row>
    <row r="1020">
      <c r="A1020" s="20" t="n">
        <v>104</v>
      </c>
      <c r="B1020" s="20" t="inlineStr">
        <is>
          <t>Agència Valenciana de Seguretat Ferroviària (AVSF)</t>
        </is>
      </c>
      <c r="C1020" s="20" t="inlineStr">
        <is>
          <t>Clasificación: función</t>
        </is>
      </c>
      <c r="D1020" s="20" t="inlineStr">
        <is>
          <t>BX</t>
        </is>
      </c>
      <c r="E1020" s="20" t="n"/>
      <c r="F1020" s="20" t="inlineStr">
        <is>
          <t>Regulación o inspección de terceros</t>
        </is>
      </c>
    </row>
    <row r="1021">
      <c r="A1021" s="20" t="n">
        <v>104</v>
      </c>
      <c r="B1021" s="20" t="inlineStr">
        <is>
          <t>Agència Valenciana de Seguretat Ferroviària (AVSF)</t>
        </is>
      </c>
      <c r="C1021" s="20" t="inlineStr">
        <is>
          <t>Clasificación: duplicidad</t>
        </is>
      </c>
      <c r="D1021" s="20" t="inlineStr">
        <is>
          <t>BY</t>
        </is>
      </c>
      <c r="E1021" s="20" t="n"/>
      <c r="F1021" s="20" t="inlineStr">
        <is>
          <t>Supervisa una red que AESF no cubre por ley (red autonómica); no es duplicado. 2 organismos sobre este tema entre el Estado y las CCAA (verificados).</t>
        </is>
      </c>
    </row>
    <row r="1022">
      <c r="A1022" s="20" t="n">
        <v>104</v>
      </c>
      <c r="B1022" s="20" t="inlineStr">
        <is>
          <t>Agència Valenciana de Seguretat Ferroviària (AVSF)</t>
        </is>
      </c>
      <c r="C1022" s="20" t="inlineStr">
        <is>
          <t>Clasificación: exigida por la UE</t>
        </is>
      </c>
      <c r="D1022" s="20" t="inlineStr">
        <is>
          <t>BZ</t>
        </is>
      </c>
      <c r="E1022" s="20" t="n"/>
      <c r="F1022" s="20" t="inlineStr">
        <is>
          <t>No</t>
        </is>
      </c>
    </row>
    <row r="1023">
      <c r="A1023" s="20" t="n">
        <v>104</v>
      </c>
      <c r="B1023" s="20" t="inlineStr">
        <is>
          <t>Agència Valenciana de Seguretat Ferroviària (AVSF)</t>
        </is>
      </c>
      <c r="C1023" s="20" t="inlineStr">
        <is>
          <t>Clasificación: actividad reciente</t>
        </is>
      </c>
      <c r="D1023" s="20" t="inlineStr">
        <is>
          <t>CA</t>
        </is>
      </c>
      <c r="E1023" s="20" t="n"/>
      <c r="F1023" s="20" t="inlineStr">
        <is>
          <t>Parcial</t>
        </is>
      </c>
    </row>
    <row r="1024">
      <c r="A1024" s="20" t="n">
        <v>104</v>
      </c>
      <c r="B1024" s="20" t="inlineStr">
        <is>
          <t>Agència Valenciana de Seguretat Ferroviària (AVSF)</t>
        </is>
      </c>
      <c r="C1024" s="20" t="inlineStr">
        <is>
          <t>Clasificación: motivo</t>
        </is>
      </c>
      <c r="D1024" s="20" t="inlineStr">
        <is>
          <t>CB</t>
        </is>
      </c>
      <c r="E1024" s="20" t="n"/>
      <c r="F1024" s="20" t="inlineStr">
        <is>
          <t>Supervisa la seguridad de la red de FGV, que hoy la AESF no cubre por ley.</t>
        </is>
      </c>
    </row>
    <row r="1025">
      <c r="A1025" s="20" t="n">
        <v>104</v>
      </c>
      <c r="B1025" s="20" t="inlineStr">
        <is>
          <t>Agència Valenciana de Seguretat Ferroviària (AVSF)</t>
        </is>
      </c>
      <c r="C1025" s="20" t="inlineStr">
        <is>
          <t>Clasificación: base en el P100</t>
        </is>
      </c>
      <c r="D1025" s="20" t="inlineStr">
        <is>
          <t>CC</t>
        </is>
      </c>
      <c r="E1025" s="20" t="n"/>
      <c r="F1025" s="20" t="inlineStr">
        <is>
          <t>Aplicando el criterio del P100: Criterio Extramuros del 12/10/2026 (exige cambiar la ley ferroviaria)</t>
        </is>
      </c>
    </row>
    <row r="1026">
      <c r="A1026" s="20" t="n">
        <v>104</v>
      </c>
      <c r="B1026" s="20" t="inlineStr">
        <is>
          <t>Agència Valenciana de Seguretat Ferroviària (AVSF)</t>
        </is>
      </c>
      <c r="C1026" s="20" t="inlineStr">
        <is>
          <t>Clasificación: destino de sus funciones</t>
        </is>
      </c>
      <c r="D1026" s="20" t="inlineStr">
        <is>
          <t>CD</t>
        </is>
      </c>
      <c r="E1026" s="20" t="n"/>
      <c r="F1026" s="20" t="inlineStr">
        <is>
          <t>Agencia Estatal de Seguridad Ferroviaria (AESF)</t>
        </is>
      </c>
    </row>
    <row r="1027">
      <c r="A1027" s="20" t="n">
        <v>104</v>
      </c>
      <c r="B1027" s="20" t="inlineStr">
        <is>
          <t>Agència Valenciana de Seguretat Ferroviària (AVSF)</t>
        </is>
      </c>
      <c r="C1027" s="20" t="inlineStr">
        <is>
          <t>Tema funcional</t>
        </is>
      </c>
      <c r="D1027" s="20" t="inlineStr">
        <is>
          <t>CE</t>
        </is>
      </c>
      <c r="E1027" s="20" t="n"/>
      <c r="F1027" s="20" t="inlineStr">
        <is>
          <t>Seguridad ferroviaria</t>
        </is>
      </c>
    </row>
    <row r="1028">
      <c r="A1028" s="20" t="n">
        <v>104</v>
      </c>
      <c r="B1028" s="20" t="inlineStr">
        <is>
          <t>Agència Valenciana de Seguretat Ferroviària (AVSF)</t>
        </is>
      </c>
      <c r="C1028" s="20" t="inlineStr">
        <is>
          <t>Organismos del mismo tema (Estado + CCAA, verificados)</t>
        </is>
      </c>
      <c r="D1028" s="20" t="inlineStr">
        <is>
          <t>CF</t>
        </is>
      </c>
      <c r="E1028" s="20" t="n"/>
      <c r="F1028" s="20" t="n">
        <v>2</v>
      </c>
    </row>
    <row r="1029">
      <c r="A1029" s="20" t="n">
        <v>105</v>
      </c>
      <c r="B1029" s="20" t="inlineStr">
        <is>
          <t>Agència Valenciana de Residus i Economia Circular</t>
        </is>
      </c>
      <c r="C1029" s="20" t="inlineStr">
        <is>
          <t>Clasificación: útil / no útil</t>
        </is>
      </c>
      <c r="D1029" s="20" t="inlineStr">
        <is>
          <t>BV</t>
        </is>
      </c>
      <c r="E1029" s="20" t="n"/>
      <c r="F1029" s="20" t="inlineStr">
        <is>
          <t>Extinguida</t>
        </is>
      </c>
    </row>
    <row r="1030">
      <c r="A1030" s="20" t="n">
        <v>105</v>
      </c>
      <c r="B1030" s="20" t="inlineStr">
        <is>
          <t>Agència Valenciana de Residus i Economia Circular</t>
        </is>
      </c>
      <c r="C1030" s="20" t="inlineStr">
        <is>
          <t>Clasificación: veredicto</t>
        </is>
      </c>
      <c r="D1030" s="20" t="inlineStr">
        <is>
          <t>BW</t>
        </is>
      </c>
      <c r="E1030" s="20" t="n"/>
      <c r="F1030" s="20" t="inlineStr">
        <is>
          <t>Extinguida</t>
        </is>
      </c>
    </row>
    <row r="1031">
      <c r="A1031" s="20" t="n">
        <v>105</v>
      </c>
      <c r="B1031" s="20" t="inlineStr">
        <is>
          <t>Agència Valenciana de Residus i Economia Circular</t>
        </is>
      </c>
      <c r="C1031" s="20" t="inlineStr">
        <is>
          <t>Clasificación: función</t>
        </is>
      </c>
      <c r="D1031" s="20" t="inlineStr">
        <is>
          <t>BX</t>
        </is>
      </c>
      <c r="E1031" s="20" t="n"/>
      <c r="F1031" s="20" t="inlineStr">
        <is>
          <t>Extinguida o no constituida</t>
        </is>
      </c>
    </row>
    <row r="1032">
      <c r="A1032" s="20" t="n">
        <v>105</v>
      </c>
      <c r="B1032" s="20" t="inlineStr">
        <is>
          <t>Agència Valenciana de Residus i Economia Circular</t>
        </is>
      </c>
      <c r="C1032" s="20" t="inlineStr">
        <is>
          <t>Clasificación: exigida por la UE</t>
        </is>
      </c>
      <c r="D1032" s="20" t="inlineStr">
        <is>
          <t>BZ</t>
        </is>
      </c>
      <c r="E1032" s="20" t="n"/>
      <c r="F1032" s="20" t="inlineStr">
        <is>
          <t>No</t>
        </is>
      </c>
    </row>
    <row r="1033">
      <c r="A1033" s="20" t="n">
        <v>105</v>
      </c>
      <c r="B1033" s="20" t="inlineStr">
        <is>
          <t>Agència Valenciana de Residus i Economia Circular</t>
        </is>
      </c>
      <c r="C1033" s="20" t="inlineStr">
        <is>
          <t>Clasificación: actividad reciente</t>
        </is>
      </c>
      <c r="D1033" s="20" t="inlineStr">
        <is>
          <t>CA</t>
        </is>
      </c>
      <c r="E1033" s="20" t="n"/>
      <c r="F1033" s="20" t="inlineStr">
        <is>
          <t>No aplica (no vigente)</t>
        </is>
      </c>
    </row>
    <row r="1034">
      <c r="A1034" s="20" t="n">
        <v>105</v>
      </c>
      <c r="B1034" s="20" t="inlineStr">
        <is>
          <t>Agència Valenciana de Residus i Economia Circular</t>
        </is>
      </c>
      <c r="C1034" s="20" t="inlineStr">
        <is>
          <t>Clasificación: motivo</t>
        </is>
      </c>
      <c r="D1034" s="20" t="inlineStr">
        <is>
          <t>CB</t>
        </is>
      </c>
      <c r="E1034" s="20" t="n"/>
      <c r="F1034" s="20" t="inlineStr">
        <is>
          <t>Prevista en Ley 5/2022; sin presupuesto en 2026 ni constitución acreditada.</t>
        </is>
      </c>
    </row>
    <row r="1035">
      <c r="A1035" s="20" t="n">
        <v>105</v>
      </c>
      <c r="B1035" s="20" t="inlineStr">
        <is>
          <t>Agència Valenciana de Residus i Economia Circular</t>
        </is>
      </c>
      <c r="C1035" s="20" t="inlineStr">
        <is>
          <t>Tema funcional</t>
        </is>
      </c>
      <c r="D1035" s="20" t="inlineStr">
        <is>
          <t>CE</t>
        </is>
      </c>
      <c r="E1035" s="20" t="n"/>
      <c r="F1035" s="20" t="inlineStr">
        <is>
          <t>Residuos</t>
        </is>
      </c>
    </row>
    <row r="1036">
      <c r="A1036" s="20" t="n">
        <v>106</v>
      </c>
      <c r="B1036" s="20" t="inlineStr">
        <is>
          <t>Corporación Audiovisual de la Comunitat Valenciana, S.A.</t>
        </is>
      </c>
      <c r="C1036" s="20" t="inlineStr">
        <is>
          <t>Clasificación: útil / no útil</t>
        </is>
      </c>
      <c r="D1036" s="20" t="inlineStr">
        <is>
          <t>BV</t>
        </is>
      </c>
      <c r="E1036" s="20" t="n"/>
      <c r="F1036" s="20" t="inlineStr">
        <is>
          <t>Sin decisión en el P100</t>
        </is>
      </c>
    </row>
    <row r="1037">
      <c r="A1037" s="20" t="n">
        <v>106</v>
      </c>
      <c r="B1037" s="20" t="inlineStr">
        <is>
          <t>Corporación Audiovisual de la Comunitat Valenciana, S.A.</t>
        </is>
      </c>
      <c r="C1037" s="20" t="inlineStr">
        <is>
          <t>Clasificación: veredicto</t>
        </is>
      </c>
      <c r="D1037" s="20" t="inlineStr">
        <is>
          <t>BW</t>
        </is>
      </c>
      <c r="E1037" s="20" t="n"/>
      <c r="F1037" s="20" t="inlineStr">
        <is>
          <t>Pendiente de decisión</t>
        </is>
      </c>
    </row>
    <row r="1038">
      <c r="A1038" s="20" t="n">
        <v>106</v>
      </c>
      <c r="B1038" s="20" t="inlineStr">
        <is>
          <t>Corporación Audiovisual de la Comunitat Valenciana, S.A.</t>
        </is>
      </c>
      <c r="C1038" s="20" t="inlineStr">
        <is>
          <t>Clasificación: función</t>
        </is>
      </c>
      <c r="D1038" s="20" t="inlineStr">
        <is>
          <t>BX</t>
        </is>
      </c>
      <c r="E1038" s="20" t="n"/>
      <c r="F1038" s="20" t="inlineStr">
        <is>
          <t>Servicio público directo</t>
        </is>
      </c>
    </row>
    <row r="1039">
      <c r="A1039" s="20" t="n">
        <v>106</v>
      </c>
      <c r="B1039" s="20" t="inlineStr">
        <is>
          <t>Corporación Audiovisual de la Comunitat Valenciana, S.A.</t>
        </is>
      </c>
      <c r="C1039" s="20" t="inlineStr">
        <is>
          <t>Clasificación: exigida por la UE</t>
        </is>
      </c>
      <c r="D1039" s="20" t="inlineStr">
        <is>
          <t>BZ</t>
        </is>
      </c>
      <c r="E1039" s="20" t="n"/>
      <c r="F1039" s="20" t="inlineStr">
        <is>
          <t>No</t>
        </is>
      </c>
    </row>
    <row r="1040">
      <c r="A1040" s="20" t="n">
        <v>106</v>
      </c>
      <c r="B1040" s="20" t="inlineStr">
        <is>
          <t>Corporación Audiovisual de la Comunitat Valenciana, S.A.</t>
        </is>
      </c>
      <c r="C1040" s="20" t="inlineStr">
        <is>
          <t>Clasificación: actividad reciente</t>
        </is>
      </c>
      <c r="D1040" s="20" t="inlineStr">
        <is>
          <t>CA</t>
        </is>
      </c>
      <c r="E1040" s="20" t="n"/>
      <c r="F1040" s="20" t="inlineStr">
        <is>
          <t>Parcial</t>
        </is>
      </c>
    </row>
    <row r="1041">
      <c r="A1041" s="20" t="n">
        <v>106</v>
      </c>
      <c r="B1041" s="20" t="inlineStr">
        <is>
          <t>Corporación Audiovisual de la Comunitat Valenciana, S.A.</t>
        </is>
      </c>
      <c r="C1041" s="20" t="inlineStr">
        <is>
          <t>Clasificación: motivo</t>
        </is>
      </c>
      <c r="D1041" s="20" t="inlineStr">
        <is>
          <t>CB</t>
        </is>
      </c>
      <c r="E1041" s="20" t="n"/>
      <c r="F1041" s="20" t="inlineStr">
        <is>
          <t>Radiotelevisión pública valenciana (81 M); RTVE ya tiene centros territoriales.</t>
        </is>
      </c>
    </row>
    <row r="1042">
      <c r="A1042" s="20" t="n">
        <v>106</v>
      </c>
      <c r="B1042" s="20" t="inlineStr">
        <is>
          <t>Corporación Audiovisual de la Comunitat Valenciana, S.A.</t>
        </is>
      </c>
      <c r="C1042" s="20" t="inlineStr">
        <is>
          <t>Clasificación: base en el P100</t>
        </is>
      </c>
      <c r="D1042" s="20" t="inlineStr">
        <is>
          <t>CC</t>
        </is>
      </c>
      <c r="E1042" s="20" t="n"/>
      <c r="F1042" s="20" t="inlineStr">
        <is>
          <t>El P100 no trata las televisiones autonómicas</t>
        </is>
      </c>
    </row>
    <row r="1043">
      <c r="A1043" s="20" t="n">
        <v>106</v>
      </c>
      <c r="B1043" s="20" t="inlineStr">
        <is>
          <t>Corporación Audiovisual de la Comunitat Valenciana, S.A.</t>
        </is>
      </c>
      <c r="C1043" s="20" t="inlineStr">
        <is>
          <t>Tema funcional</t>
        </is>
      </c>
      <c r="D1043" s="20" t="inlineStr">
        <is>
          <t>CE</t>
        </is>
      </c>
      <c r="E1043" s="20" t="n"/>
      <c r="F1043" s="20" t="inlineStr">
        <is>
          <t>Radiotelevisión pública</t>
        </is>
      </c>
    </row>
    <row r="1044">
      <c r="A1044" s="20" t="n">
        <v>107</v>
      </c>
      <c r="B1044" s="20" t="inlineStr">
        <is>
          <t>Aukerak, Agencia Vasca de Reinserción Social</t>
        </is>
      </c>
      <c r="C1044" s="20" t="inlineStr">
        <is>
          <t>Clasificación: útil / no útil</t>
        </is>
      </c>
      <c r="D1044" s="20" t="inlineStr">
        <is>
          <t>BV</t>
        </is>
      </c>
      <c r="E1044" s="20" t="n"/>
      <c r="F1044" s="20" t="inlineStr">
        <is>
          <t>No útil</t>
        </is>
      </c>
    </row>
    <row r="1045">
      <c r="A1045" s="20" t="n">
        <v>107</v>
      </c>
      <c r="B1045" s="20" t="inlineStr">
        <is>
          <t>Aukerak, Agencia Vasca de Reinserción Social</t>
        </is>
      </c>
      <c r="C1045" s="20" t="inlineStr">
        <is>
          <t>Clasificación: veredicto</t>
        </is>
      </c>
      <c r="D1045" s="20" t="inlineStr">
        <is>
          <t>BW</t>
        </is>
      </c>
      <c r="E1045" s="20" t="n"/>
      <c r="F1045" s="20" t="inlineStr">
        <is>
          <t>Integrar</t>
        </is>
      </c>
    </row>
    <row r="1046">
      <c r="A1046" s="20" t="n">
        <v>107</v>
      </c>
      <c r="B1046" s="20" t="inlineStr">
        <is>
          <t>Aukerak, Agencia Vasca de Reinserción Social</t>
        </is>
      </c>
      <c r="C1046" s="20" t="inlineStr">
        <is>
          <t>Clasificación: función</t>
        </is>
      </c>
      <c r="D1046" s="20" t="inlineStr">
        <is>
          <t>BX</t>
        </is>
      </c>
      <c r="E1046" s="20" t="n"/>
      <c r="F1046" s="20" t="inlineStr">
        <is>
          <t>Servicio público directo</t>
        </is>
      </c>
    </row>
    <row r="1047">
      <c r="A1047" s="20" t="n">
        <v>107</v>
      </c>
      <c r="B1047" s="20" t="inlineStr">
        <is>
          <t>Aukerak, Agencia Vasca de Reinserción Social</t>
        </is>
      </c>
      <c r="C1047" s="20" t="inlineStr">
        <is>
          <t>Clasificación: exigida por la UE</t>
        </is>
      </c>
      <c r="D1047" s="20" t="inlineStr">
        <is>
          <t>BZ</t>
        </is>
      </c>
      <c r="E1047" s="20" t="n"/>
      <c r="F1047" s="20" t="inlineStr">
        <is>
          <t>No</t>
        </is>
      </c>
    </row>
    <row r="1048">
      <c r="A1048" s="20" t="n">
        <v>107</v>
      </c>
      <c r="B1048" s="20" t="inlineStr">
        <is>
          <t>Aukerak, Agencia Vasca de Reinserción Social</t>
        </is>
      </c>
      <c r="C1048" s="20" t="inlineStr">
        <is>
          <t>Clasificación: actividad reciente</t>
        </is>
      </c>
      <c r="D1048" s="20" t="inlineStr">
        <is>
          <t>CA</t>
        </is>
      </c>
      <c r="E1048" s="20" t="n"/>
      <c r="F1048" s="20" t="inlineStr">
        <is>
          <t>Parcial</t>
        </is>
      </c>
    </row>
    <row r="1049">
      <c r="A1049" s="20" t="n">
        <v>107</v>
      </c>
      <c r="B1049" s="20" t="inlineStr">
        <is>
          <t>Aukerak, Agencia Vasca de Reinserción Social</t>
        </is>
      </c>
      <c r="C1049" s="20" t="inlineStr">
        <is>
          <t>Clasificación: motivo</t>
        </is>
      </c>
      <c r="D1049" s="20" t="inlineStr">
        <is>
          <t>CB</t>
        </is>
      </c>
      <c r="E1049" s="20" t="n"/>
      <c r="F1049" s="20" t="inlineStr">
        <is>
          <t>Gestiona la reinserción de presos en el País Vasco; el P100 quiere que el Estado recupere la gestión de las prisiones.</t>
        </is>
      </c>
    </row>
    <row r="1050">
      <c r="A1050" s="20" t="n">
        <v>107</v>
      </c>
      <c r="B1050" s="20" t="inlineStr">
        <is>
          <t>Aukerak, Agencia Vasca de Reinserción Social</t>
        </is>
      </c>
      <c r="C1050" s="20" t="inlineStr">
        <is>
          <t>Clasificación: base en el P100</t>
        </is>
      </c>
      <c r="D1050" s="20" t="inlineStr">
        <is>
          <t>CC</t>
        </is>
      </c>
      <c r="E1050" s="20" t="n"/>
      <c r="F1050" s="20" t="inlineStr">
        <is>
          <t>Explícito en el P100: Organización del Estado 19</t>
        </is>
      </c>
    </row>
    <row r="1051">
      <c r="A1051" s="20" t="n">
        <v>107</v>
      </c>
      <c r="B1051" s="20" t="inlineStr">
        <is>
          <t>Aukerak, Agencia Vasca de Reinserción Social</t>
        </is>
      </c>
      <c r="C1051" s="20" t="inlineStr">
        <is>
          <t>Clasificación: destino de sus funciones</t>
        </is>
      </c>
      <c r="D1051" s="20" t="inlineStr">
        <is>
          <t>CD</t>
        </is>
      </c>
      <c r="E1051" s="20" t="n"/>
      <c r="F1051" s="20" t="inlineStr">
        <is>
          <t>Secretaría General de Instituciones Penitenciarias (Estado)</t>
        </is>
      </c>
    </row>
    <row r="1052">
      <c r="A1052" s="20" t="n">
        <v>107</v>
      </c>
      <c r="B1052" s="20" t="inlineStr">
        <is>
          <t>Aukerak, Agencia Vasca de Reinserción Social</t>
        </is>
      </c>
      <c r="C1052" s="20" t="inlineStr">
        <is>
          <t>Tema funcional</t>
        </is>
      </c>
      <c r="D1052" s="20" t="inlineStr">
        <is>
          <t>CE</t>
        </is>
      </c>
      <c r="E1052" s="20" t="n"/>
      <c r="F1052" s="20" t="inlineStr">
        <is>
          <t>Reinserción social</t>
        </is>
      </c>
    </row>
    <row r="1053">
      <c r="A1053" s="20" t="n">
        <v>108</v>
      </c>
      <c r="B1053" s="20" t="inlineStr">
        <is>
          <t>Agencia Vasca de Ciberseguridad</t>
        </is>
      </c>
      <c r="C1053" s="20" t="inlineStr">
        <is>
          <t>Clasificación: útil / no útil</t>
        </is>
      </c>
      <c r="D1053" s="20" t="inlineStr">
        <is>
          <t>BV</t>
        </is>
      </c>
      <c r="E1053" s="20" t="n"/>
      <c r="F1053" s="20" t="inlineStr">
        <is>
          <t>No útil</t>
        </is>
      </c>
    </row>
    <row r="1054">
      <c r="A1054" s="20" t="n">
        <v>108</v>
      </c>
      <c r="B1054" s="20" t="inlineStr">
        <is>
          <t>Agencia Vasca de Ciberseguridad</t>
        </is>
      </c>
      <c r="C1054" s="20" t="inlineStr">
        <is>
          <t>Clasificación: veredicto</t>
        </is>
      </c>
      <c r="D1054" s="20" t="inlineStr">
        <is>
          <t>BW</t>
        </is>
      </c>
      <c r="E1054" s="20" t="n"/>
      <c r="F1054" s="20" t="inlineStr">
        <is>
          <t>Integrar</t>
        </is>
      </c>
    </row>
    <row r="1055">
      <c r="A1055" s="20" t="n">
        <v>108</v>
      </c>
      <c r="B1055" s="20" t="inlineStr">
        <is>
          <t>Agencia Vasca de Ciberseguridad</t>
        </is>
      </c>
      <c r="C1055" s="20" t="inlineStr">
        <is>
          <t>Clasificación: función</t>
        </is>
      </c>
      <c r="D1055" s="20" t="inlineStr">
        <is>
          <t>BX</t>
        </is>
      </c>
      <c r="E1055" s="20" t="n"/>
      <c r="F1055" s="20" t="inlineStr">
        <is>
          <t>Servicio público directo</t>
        </is>
      </c>
    </row>
    <row r="1056">
      <c r="A1056" s="20" t="n">
        <v>108</v>
      </c>
      <c r="B1056" s="20" t="inlineStr">
        <is>
          <t>Agencia Vasca de Ciberseguridad</t>
        </is>
      </c>
      <c r="C1056" s="20" t="inlineStr">
        <is>
          <t>Clasificación: duplicidad</t>
        </is>
      </c>
      <c r="D1056" s="20" t="inlineStr">
        <is>
          <t>BY</t>
        </is>
      </c>
      <c r="E1056" s="20" t="n"/>
      <c r="F1056" s="20" t="inlineStr">
        <is>
          <t>Duplica a INCIBE y CCN-CERT, que ya cubre este territorio o puede hacerlo. 9 organismos sobre este tema entre el Estado y las CCAA (verificados).</t>
        </is>
      </c>
    </row>
    <row r="1057">
      <c r="A1057" s="20" t="n">
        <v>108</v>
      </c>
      <c r="B1057" s="20" t="inlineStr">
        <is>
          <t>Agencia Vasca de Ciberseguridad</t>
        </is>
      </c>
      <c r="C1057" s="20" t="inlineStr">
        <is>
          <t>Clasificación: exigida por la UE</t>
        </is>
      </c>
      <c r="D1057" s="20" t="inlineStr">
        <is>
          <t>BZ</t>
        </is>
      </c>
      <c r="E1057" s="20" t="n"/>
      <c r="F1057" s="20" t="inlineStr">
        <is>
          <t>No</t>
        </is>
      </c>
    </row>
    <row r="1058">
      <c r="A1058" s="20" t="n">
        <v>108</v>
      </c>
      <c r="B1058" s="20" t="inlineStr">
        <is>
          <t>Agencia Vasca de Ciberseguridad</t>
        </is>
      </c>
      <c r="C1058" s="20" t="inlineStr">
        <is>
          <t>Clasificación: actividad reciente</t>
        </is>
      </c>
      <c r="D1058" s="20" t="inlineStr">
        <is>
          <t>CA</t>
        </is>
      </c>
      <c r="E1058" s="20" t="n"/>
      <c r="F1058" s="20" t="inlineStr">
        <is>
          <t>Parcial</t>
        </is>
      </c>
    </row>
    <row r="1059">
      <c r="A1059" s="20" t="n">
        <v>108</v>
      </c>
      <c r="B1059" s="20" t="inlineStr">
        <is>
          <t>Agencia Vasca de Ciberseguridad</t>
        </is>
      </c>
      <c r="C1059" s="20" t="inlineStr">
        <is>
          <t>Clasificación: motivo</t>
        </is>
      </c>
      <c r="D1059" s="20" t="inlineStr">
        <is>
          <t>CB</t>
        </is>
      </c>
      <c r="E1059" s="20" t="n"/>
      <c r="F1059" s="20" t="inlineStr">
        <is>
          <t>Agencia autonómica de ciberseguridad; el CCN-CERT es por ley el centro de referencia de todas las administraciones.</t>
        </is>
      </c>
    </row>
    <row r="1060">
      <c r="A1060" s="20" t="n">
        <v>108</v>
      </c>
      <c r="B1060" s="20" t="inlineStr">
        <is>
          <t>Agencia Vasca de Ciberseguridad</t>
        </is>
      </c>
      <c r="C1060" s="20" t="inlineStr">
        <is>
          <t>Clasificación: base en el P100</t>
        </is>
      </c>
      <c r="D1060" s="20" t="inlineStr">
        <is>
          <t>CC</t>
        </is>
      </c>
      <c r="E1060" s="20" t="n"/>
      <c r="F1060" s="20" t="inlineStr">
        <is>
          <t>Aplicando el criterio del P100: Criterio Extramuros del 12/10/2026</t>
        </is>
      </c>
    </row>
    <row r="1061">
      <c r="A1061" s="20" t="n">
        <v>108</v>
      </c>
      <c r="B1061" s="20" t="inlineStr">
        <is>
          <t>Agencia Vasca de Ciberseguridad</t>
        </is>
      </c>
      <c r="C1061" s="20" t="inlineStr">
        <is>
          <t>Clasificación: destino de sus funciones</t>
        </is>
      </c>
      <c r="D1061" s="20" t="inlineStr">
        <is>
          <t>CD</t>
        </is>
      </c>
      <c r="E1061" s="20" t="n"/>
      <c r="F1061" s="20" t="inlineStr">
        <is>
          <t>Centro Criptológico Nacional (CCN-CERT) e Instituto Nacional de Ciberseguridad (INCIBE)</t>
        </is>
      </c>
    </row>
    <row r="1062">
      <c r="A1062" s="20" t="n">
        <v>108</v>
      </c>
      <c r="B1062" s="20" t="inlineStr">
        <is>
          <t>Agencia Vasca de Ciberseguridad</t>
        </is>
      </c>
      <c r="C1062" s="20" t="inlineStr">
        <is>
          <t>Tema funcional</t>
        </is>
      </c>
      <c r="D1062" s="20" t="inlineStr">
        <is>
          <t>CE</t>
        </is>
      </c>
      <c r="E1062" s="20" t="n"/>
      <c r="F1062" s="20" t="inlineStr">
        <is>
          <t>Agencias de ciberseguridad</t>
        </is>
      </c>
    </row>
    <row r="1063">
      <c r="A1063" s="20" t="n">
        <v>108</v>
      </c>
      <c r="B1063" s="20" t="inlineStr">
        <is>
          <t>Agencia Vasca de Ciberseguridad</t>
        </is>
      </c>
      <c r="C1063" s="20" t="inlineStr">
        <is>
          <t>Organismos del mismo tema (Estado + CCAA, verificados)</t>
        </is>
      </c>
      <c r="D1063" s="20" t="inlineStr">
        <is>
          <t>CF</t>
        </is>
      </c>
      <c r="E1063" s="20" t="n"/>
      <c r="F1063" s="20" t="n">
        <v>9</v>
      </c>
    </row>
    <row r="1064">
      <c r="A1064" s="20" t="n">
        <v>109</v>
      </c>
      <c r="B1064" s="20" t="inlineStr">
        <is>
          <t>Euskadiko Kirol Portuak (Puertos Deportivos de Euskadi)</t>
        </is>
      </c>
      <c r="C1064" s="20" t="inlineStr">
        <is>
          <t>Clasificación: útil / no útil</t>
        </is>
      </c>
      <c r="D1064" s="20" t="inlineStr">
        <is>
          <t>BV</t>
        </is>
      </c>
      <c r="E1064" s="20" t="n"/>
      <c r="F1064" s="20" t="inlineStr">
        <is>
          <t>Útil</t>
        </is>
      </c>
    </row>
    <row r="1065">
      <c r="A1065" s="20" t="n">
        <v>109</v>
      </c>
      <c r="B1065" s="20" t="inlineStr">
        <is>
          <t>Euskadiko Kirol Portuak (Puertos Deportivos de Euskadi)</t>
        </is>
      </c>
      <c r="C1065" s="20" t="inlineStr">
        <is>
          <t>Clasificación: veredicto</t>
        </is>
      </c>
      <c r="D1065" s="20" t="inlineStr">
        <is>
          <t>BW</t>
        </is>
      </c>
      <c r="E1065" s="20" t="n"/>
      <c r="F1065" s="20" t="inlineStr">
        <is>
          <t>Mantener</t>
        </is>
      </c>
    </row>
    <row r="1066">
      <c r="A1066" s="20" t="n">
        <v>109</v>
      </c>
      <c r="B1066" s="20" t="inlineStr">
        <is>
          <t>Euskadiko Kirol Portuak (Puertos Deportivos de Euskadi)</t>
        </is>
      </c>
      <c r="C1066" s="20" t="inlineStr">
        <is>
          <t>Clasificación: función</t>
        </is>
      </c>
      <c r="D1066" s="20" t="inlineStr">
        <is>
          <t>BX</t>
        </is>
      </c>
      <c r="E1066" s="20" t="n"/>
      <c r="F1066" s="20" t="inlineStr">
        <is>
          <t>Servicio público directo</t>
        </is>
      </c>
    </row>
    <row r="1067">
      <c r="A1067" s="20" t="n">
        <v>109</v>
      </c>
      <c r="B1067" s="20" t="inlineStr">
        <is>
          <t>Euskadiko Kirol Portuak (Puertos Deportivos de Euskadi)</t>
        </is>
      </c>
      <c r="C1067" s="20" t="inlineStr">
        <is>
          <t>Clasificación: exigida por la UE</t>
        </is>
      </c>
      <c r="D1067" s="20" t="inlineStr">
        <is>
          <t>BZ</t>
        </is>
      </c>
      <c r="E1067" s="20" t="n"/>
      <c r="F1067" s="20" t="inlineStr">
        <is>
          <t>No</t>
        </is>
      </c>
    </row>
    <row r="1068">
      <c r="A1068" s="20" t="n">
        <v>109</v>
      </c>
      <c r="B1068" s="20" t="inlineStr">
        <is>
          <t>Euskadiko Kirol Portuak (Puertos Deportivos de Euskadi)</t>
        </is>
      </c>
      <c r="C1068" s="20" t="inlineStr">
        <is>
          <t>Clasificación: actividad reciente</t>
        </is>
      </c>
      <c r="D1068" s="20" t="inlineStr">
        <is>
          <t>CA</t>
        </is>
      </c>
      <c r="E1068" s="20" t="n"/>
      <c r="F1068" s="20" t="inlineStr">
        <is>
          <t>Parcial</t>
        </is>
      </c>
    </row>
    <row r="1069">
      <c r="A1069" s="20" t="n">
        <v>109</v>
      </c>
      <c r="B1069" s="20" t="inlineStr">
        <is>
          <t>Euskadiko Kirol Portuak (Puertos Deportivos de Euskadi)</t>
        </is>
      </c>
      <c r="C1069" s="20" t="inlineStr">
        <is>
          <t>Clasificación: motivo</t>
        </is>
      </c>
      <c r="D1069" s="20" t="inlineStr">
        <is>
          <t>CB</t>
        </is>
      </c>
      <c r="E1069" s="20" t="n"/>
      <c r="F1069" s="20" t="inlineStr">
        <is>
          <t>Gestiona los puertos deportivos vascos con ingresos propios.</t>
        </is>
      </c>
    </row>
    <row r="1070">
      <c r="A1070" s="20" t="n">
        <v>109</v>
      </c>
      <c r="B1070" s="20" t="inlineStr">
        <is>
          <t>Euskadiko Kirol Portuak (Puertos Deportivos de Euskadi)</t>
        </is>
      </c>
      <c r="C1070" s="20" t="inlineStr">
        <is>
          <t>Clasificación: base en el P100</t>
        </is>
      </c>
      <c r="D1070" s="20" t="inlineStr">
        <is>
          <t>CC</t>
        </is>
      </c>
      <c r="E1070" s="20" t="n"/>
      <c r="F1070" s="20" t="inlineStr">
        <is>
          <t>Aplicando el criterio del P100: Servicio directo</t>
        </is>
      </c>
    </row>
    <row r="1071">
      <c r="A1071" s="20" t="n">
        <v>109</v>
      </c>
      <c r="B1071" s="20" t="inlineStr">
        <is>
          <t>Euskadiko Kirol Portuak (Puertos Deportivos de Euskadi)</t>
        </is>
      </c>
      <c r="C1071" s="20" t="inlineStr">
        <is>
          <t>Tema funcional</t>
        </is>
      </c>
      <c r="D1071" s="20" t="inlineStr">
        <is>
          <t>CE</t>
        </is>
      </c>
      <c r="E1071" s="20" t="n"/>
      <c r="F1071" s="20" t="inlineStr">
        <is>
          <t>Puertos deportivos</t>
        </is>
      </c>
    </row>
    <row r="1072">
      <c r="A1072" s="20" t="n">
        <v>110</v>
      </c>
      <c r="B1072" s="20" t="inlineStr">
        <is>
          <t>Agència de Ciberseguretat de Catalunya</t>
        </is>
      </c>
      <c r="C1072" s="20" t="inlineStr">
        <is>
          <t>Clasificación: útil / no útil</t>
        </is>
      </c>
      <c r="D1072" s="20" t="inlineStr">
        <is>
          <t>BV</t>
        </is>
      </c>
      <c r="E1072" s="20" t="n"/>
      <c r="F1072" s="20" t="inlineStr">
        <is>
          <t>No útil</t>
        </is>
      </c>
    </row>
    <row r="1073">
      <c r="A1073" s="20" t="n">
        <v>110</v>
      </c>
      <c r="B1073" s="20" t="inlineStr">
        <is>
          <t>Agència de Ciberseguretat de Catalunya</t>
        </is>
      </c>
      <c r="C1073" s="20" t="inlineStr">
        <is>
          <t>Clasificación: veredicto</t>
        </is>
      </c>
      <c r="D1073" s="20" t="inlineStr">
        <is>
          <t>BW</t>
        </is>
      </c>
      <c r="E1073" s="20" t="n"/>
      <c r="F1073" s="20" t="inlineStr">
        <is>
          <t>Integrar</t>
        </is>
      </c>
    </row>
    <row r="1074">
      <c r="A1074" s="20" t="n">
        <v>110</v>
      </c>
      <c r="B1074" s="20" t="inlineStr">
        <is>
          <t>Agència de Ciberseguretat de Catalunya</t>
        </is>
      </c>
      <c r="C1074" s="20" t="inlineStr">
        <is>
          <t>Clasificación: función</t>
        </is>
      </c>
      <c r="D1074" s="20" t="inlineStr">
        <is>
          <t>BX</t>
        </is>
      </c>
      <c r="E1074" s="20" t="n"/>
      <c r="F1074" s="20" t="inlineStr">
        <is>
          <t>Servicio público directo</t>
        </is>
      </c>
    </row>
    <row r="1075">
      <c r="A1075" s="20" t="n">
        <v>110</v>
      </c>
      <c r="B1075" s="20" t="inlineStr">
        <is>
          <t>Agència de Ciberseguretat de Catalunya</t>
        </is>
      </c>
      <c r="C1075" s="20" t="inlineStr">
        <is>
          <t>Clasificación: duplicidad</t>
        </is>
      </c>
      <c r="D1075" s="20" t="inlineStr">
        <is>
          <t>BY</t>
        </is>
      </c>
      <c r="E1075" s="20" t="n"/>
      <c r="F1075" s="20" t="inlineStr">
        <is>
          <t>Duplica a INCIBE y CCN-CERT, que ya cubre este territorio o puede hacerlo. 9 organismos sobre este tema entre el Estado y las CCAA (verificados).</t>
        </is>
      </c>
    </row>
    <row r="1076">
      <c r="A1076" s="20" t="n">
        <v>110</v>
      </c>
      <c r="B1076" s="20" t="inlineStr">
        <is>
          <t>Agència de Ciberseguretat de Catalunya</t>
        </is>
      </c>
      <c r="C1076" s="20" t="inlineStr">
        <is>
          <t>Clasificación: exigida por la UE</t>
        </is>
      </c>
      <c r="D1076" s="20" t="inlineStr">
        <is>
          <t>BZ</t>
        </is>
      </c>
      <c r="E1076" s="20" t="n"/>
      <c r="F1076" s="20" t="inlineStr">
        <is>
          <t>No</t>
        </is>
      </c>
    </row>
    <row r="1077">
      <c r="A1077" s="20" t="n">
        <v>110</v>
      </c>
      <c r="B1077" s="20" t="inlineStr">
        <is>
          <t>Agència de Ciberseguretat de Catalunya</t>
        </is>
      </c>
      <c r="C1077" s="20" t="inlineStr">
        <is>
          <t>Clasificación: actividad reciente</t>
        </is>
      </c>
      <c r="D1077" s="20" t="inlineStr">
        <is>
          <t>CA</t>
        </is>
      </c>
      <c r="E1077" s="20" t="n"/>
      <c r="F1077" s="20" t="inlineStr">
        <is>
          <t>Parcial</t>
        </is>
      </c>
    </row>
    <row r="1078">
      <c r="A1078" s="20" t="n">
        <v>110</v>
      </c>
      <c r="B1078" s="20" t="inlineStr">
        <is>
          <t>Agència de Ciberseguretat de Catalunya</t>
        </is>
      </c>
      <c r="C1078" s="20" t="inlineStr">
        <is>
          <t>Clasificación: motivo</t>
        </is>
      </c>
      <c r="D1078" s="20" t="inlineStr">
        <is>
          <t>CB</t>
        </is>
      </c>
      <c r="E1078" s="20" t="n"/>
      <c r="F1078" s="20" t="inlineStr">
        <is>
          <t>Agencia autonómica de ciberseguridad; el CCN-CERT es por ley el centro de referencia de todas las administraciones.</t>
        </is>
      </c>
    </row>
    <row r="1079">
      <c r="A1079" s="20" t="n">
        <v>110</v>
      </c>
      <c r="B1079" s="20" t="inlineStr">
        <is>
          <t>Agència de Ciberseguretat de Catalunya</t>
        </is>
      </c>
      <c r="C1079" s="20" t="inlineStr">
        <is>
          <t>Clasificación: base en el P100</t>
        </is>
      </c>
      <c r="D1079" s="20" t="inlineStr">
        <is>
          <t>CC</t>
        </is>
      </c>
      <c r="E1079" s="20" t="n"/>
      <c r="F1079" s="20" t="inlineStr">
        <is>
          <t>Aplicando el criterio del P100: Criterio Extramuros del 12/10/2026</t>
        </is>
      </c>
    </row>
    <row r="1080">
      <c r="A1080" s="20" t="n">
        <v>110</v>
      </c>
      <c r="B1080" s="20" t="inlineStr">
        <is>
          <t>Agència de Ciberseguretat de Catalunya</t>
        </is>
      </c>
      <c r="C1080" s="20" t="inlineStr">
        <is>
          <t>Clasificación: destino de sus funciones</t>
        </is>
      </c>
      <c r="D1080" s="20" t="inlineStr">
        <is>
          <t>CD</t>
        </is>
      </c>
      <c r="E1080" s="20" t="n"/>
      <c r="F1080" s="20" t="inlineStr">
        <is>
          <t>Centro Criptológico Nacional (CCN-CERT) e Instituto Nacional de Ciberseguridad (INCIBE)</t>
        </is>
      </c>
    </row>
    <row r="1081">
      <c r="A1081" s="20" t="n">
        <v>110</v>
      </c>
      <c r="B1081" s="20" t="inlineStr">
        <is>
          <t>Agència de Ciberseguretat de Catalunya</t>
        </is>
      </c>
      <c r="C1081" s="20" t="inlineStr">
        <is>
          <t>Tema funcional</t>
        </is>
      </c>
      <c r="D1081" s="20" t="inlineStr">
        <is>
          <t>CE</t>
        </is>
      </c>
      <c r="E1081" s="20" t="n"/>
      <c r="F1081" s="20" t="inlineStr">
        <is>
          <t>Agencias de ciberseguridad</t>
        </is>
      </c>
    </row>
    <row r="1082">
      <c r="A1082" s="20" t="n">
        <v>110</v>
      </c>
      <c r="B1082" s="20" t="inlineStr">
        <is>
          <t>Agència de Ciberseguretat de Catalunya</t>
        </is>
      </c>
      <c r="C1082" s="20" t="inlineStr">
        <is>
          <t>Organismos del mismo tema (Estado + CCAA, verificados)</t>
        </is>
      </c>
      <c r="D1082" s="20" t="inlineStr">
        <is>
          <t>CF</t>
        </is>
      </c>
      <c r="E1082" s="20" t="n"/>
      <c r="F1082" s="20" t="n">
        <v>9</v>
      </c>
    </row>
    <row r="1083">
      <c r="A1083" s="20" t="n">
        <v>111</v>
      </c>
      <c r="B1083" s="20" t="inlineStr">
        <is>
          <t>Agencia de Salud Pública de las Illes Balears (ASPIB)</t>
        </is>
      </c>
      <c r="C1083" s="20" t="inlineStr">
        <is>
          <t>Clasificación: útil / no útil</t>
        </is>
      </c>
      <c r="D1083" s="20" t="inlineStr">
        <is>
          <t>BV</t>
        </is>
      </c>
      <c r="E1083" s="20" t="n"/>
      <c r="F1083" s="20" t="inlineStr">
        <is>
          <t>No útil</t>
        </is>
      </c>
    </row>
    <row r="1084">
      <c r="A1084" s="20" t="n">
        <v>111</v>
      </c>
      <c r="B1084" s="20" t="inlineStr">
        <is>
          <t>Agencia de Salud Pública de las Illes Balears (ASPIB)</t>
        </is>
      </c>
      <c r="C1084" s="20" t="inlineStr">
        <is>
          <t>Clasificación: veredicto</t>
        </is>
      </c>
      <c r="D1084" s="20" t="inlineStr">
        <is>
          <t>BW</t>
        </is>
      </c>
      <c r="E1084" s="20" t="n"/>
      <c r="F1084" s="20" t="inlineStr">
        <is>
          <t>Integrar</t>
        </is>
      </c>
    </row>
    <row r="1085">
      <c r="A1085" s="20" t="n">
        <v>111</v>
      </c>
      <c r="B1085" s="20" t="inlineStr">
        <is>
          <t>Agencia de Salud Pública de las Illes Balears (ASPIB)</t>
        </is>
      </c>
      <c r="C1085" s="20" t="inlineStr">
        <is>
          <t>Clasificación: función</t>
        </is>
      </c>
      <c r="D1085" s="20" t="inlineStr">
        <is>
          <t>BX</t>
        </is>
      </c>
      <c r="E1085" s="20" t="n"/>
      <c r="F1085" s="20" t="inlineStr">
        <is>
          <t>Servicio público directo</t>
        </is>
      </c>
    </row>
    <row r="1086">
      <c r="A1086" s="20" t="n">
        <v>111</v>
      </c>
      <c r="B1086" s="20" t="inlineStr">
        <is>
          <t>Agencia de Salud Pública de las Illes Balears (ASPIB)</t>
        </is>
      </c>
      <c r="C1086" s="20" t="inlineStr">
        <is>
          <t>Clasificación: duplicidad</t>
        </is>
      </c>
      <c r="D1086" s="20" t="inlineStr">
        <is>
          <t>BY</t>
        </is>
      </c>
      <c r="E1086" s="20" t="n"/>
      <c r="F1086" s="20" t="inlineStr">
        <is>
          <t>Paralelo a AESAP: cada nivel actúa con sus propios fondos o competencias. 5 organismos sobre este tema entre el Estado y las CCAA (verificados).</t>
        </is>
      </c>
    </row>
    <row r="1087">
      <c r="A1087" s="20" t="n">
        <v>111</v>
      </c>
      <c r="B1087" s="20" t="inlineStr">
        <is>
          <t>Agencia de Salud Pública de las Illes Balears (ASPIB)</t>
        </is>
      </c>
      <c r="C1087" s="20" t="inlineStr">
        <is>
          <t>Clasificación: exigida por la UE</t>
        </is>
      </c>
      <c r="D1087" s="20" t="inlineStr">
        <is>
          <t>BZ</t>
        </is>
      </c>
      <c r="E1087" s="20" t="n"/>
      <c r="F1087" s="20" t="inlineStr">
        <is>
          <t>No</t>
        </is>
      </c>
    </row>
    <row r="1088">
      <c r="A1088" s="20" t="n">
        <v>111</v>
      </c>
      <c r="B1088" s="20" t="inlineStr">
        <is>
          <t>Agencia de Salud Pública de las Illes Balears (ASPIB)</t>
        </is>
      </c>
      <c r="C1088" s="20" t="inlineStr">
        <is>
          <t>Clasificación: actividad reciente</t>
        </is>
      </c>
      <c r="D1088" s="20" t="inlineStr">
        <is>
          <t>CA</t>
        </is>
      </c>
      <c r="E1088" s="20" t="n"/>
      <c r="F1088" s="20" t="inlineStr">
        <is>
          <t>No acreditada</t>
        </is>
      </c>
    </row>
    <row r="1089">
      <c r="A1089" s="20" t="n">
        <v>111</v>
      </c>
      <c r="B1089" s="20" t="inlineStr">
        <is>
          <t>Agencia de Salud Pública de las Illes Balears (ASPIB)</t>
        </is>
      </c>
      <c r="C1089" s="20" t="inlineStr">
        <is>
          <t>Clasificación: motivo</t>
        </is>
      </c>
      <c r="D1089" s="20" t="inlineStr">
        <is>
          <t>CB</t>
        </is>
      </c>
      <c r="E1089" s="20" t="n"/>
      <c r="F1089" s="20" t="inlineStr">
        <is>
          <t>Agencia balear de salud pública sin capítulo de personal propio y con funcionamiento no confirmado.</t>
        </is>
      </c>
    </row>
    <row r="1090">
      <c r="A1090" s="20" t="n">
        <v>111</v>
      </c>
      <c r="B1090" s="20" t="inlineStr">
        <is>
          <t>Agencia de Salud Pública de las Illes Balears (ASPIB)</t>
        </is>
      </c>
      <c r="C1090" s="20" t="inlineStr">
        <is>
          <t>Clasificación: base en el P100</t>
        </is>
      </c>
      <c r="D1090" s="20" t="inlineStr">
        <is>
          <t>CC</t>
        </is>
      </c>
      <c r="E1090" s="20" t="n"/>
      <c r="F1090" s="20" t="inlineStr">
        <is>
          <t>Aplicando el criterio del P100: Costes del Estado 9 (aplicado a las CCAA)</t>
        </is>
      </c>
    </row>
    <row r="1091">
      <c r="A1091" s="20" t="n">
        <v>111</v>
      </c>
      <c r="B1091" s="20" t="inlineStr">
        <is>
          <t>Agencia de Salud Pública de las Illes Balears (ASPIB)</t>
        </is>
      </c>
      <c r="C1091" s="20" t="inlineStr">
        <is>
          <t>Clasificación: destino de sus funciones</t>
        </is>
      </c>
      <c r="D1091" s="20" t="inlineStr">
        <is>
          <t>CD</t>
        </is>
      </c>
      <c r="E1091" s="20" t="n"/>
      <c r="F1091" s="20" t="inlineStr">
        <is>
          <t>Consejería de Sanidad de la comunidad autónoma</t>
        </is>
      </c>
    </row>
    <row r="1092">
      <c r="A1092" s="20" t="n">
        <v>111</v>
      </c>
      <c r="B1092" s="20" t="inlineStr">
        <is>
          <t>Agencia de Salud Pública de las Illes Balears (ASPIB)</t>
        </is>
      </c>
      <c r="C1092" s="20" t="inlineStr">
        <is>
          <t>Tema funcional</t>
        </is>
      </c>
      <c r="D1092" s="20" t="inlineStr">
        <is>
          <t>CE</t>
        </is>
      </c>
      <c r="E1092" s="20" t="n"/>
      <c r="F1092" s="20" t="inlineStr">
        <is>
          <t>Agencias de salud pública</t>
        </is>
      </c>
    </row>
    <row r="1093">
      <c r="A1093" s="20" t="n">
        <v>111</v>
      </c>
      <c r="B1093" s="20" t="inlineStr">
        <is>
          <t>Agencia de Salud Pública de las Illes Balears (ASPIB)</t>
        </is>
      </c>
      <c r="C1093" s="20" t="inlineStr">
        <is>
          <t>Organismos del mismo tema (Estado + CCAA, verificados)</t>
        </is>
      </c>
      <c r="D1093" s="20" t="inlineStr">
        <is>
          <t>CF</t>
        </is>
      </c>
      <c r="E1093" s="20" t="n"/>
      <c r="F1093" s="20" t="n">
        <v>5</v>
      </c>
    </row>
    <row r="1094">
      <c r="A1094" s="20" t="n">
        <v>112</v>
      </c>
      <c r="B1094" s="20" t="inlineStr">
        <is>
          <t>Agencia de Ciencia, Competitividad Empresarial e Innovación (SCEI) del Principado de Asturias</t>
        </is>
      </c>
      <c r="C1094" s="20" t="inlineStr">
        <is>
          <t>Clasificación: útil / no útil</t>
        </is>
      </c>
      <c r="D1094" s="20" t="inlineStr">
        <is>
          <t>BV</t>
        </is>
      </c>
      <c r="E1094" s="20" t="n"/>
      <c r="F1094" s="20" t="inlineStr">
        <is>
          <t>No útil</t>
        </is>
      </c>
    </row>
    <row r="1095">
      <c r="A1095" s="20" t="n">
        <v>112</v>
      </c>
      <c r="B1095" s="20" t="inlineStr">
        <is>
          <t>Agencia de Ciencia, Competitividad Empresarial e Innovación (SCEI) del Principado de Asturias</t>
        </is>
      </c>
      <c r="C1095" s="20" t="inlineStr">
        <is>
          <t>Clasificación: veredicto</t>
        </is>
      </c>
      <c r="D1095" s="20" t="inlineStr">
        <is>
          <t>BW</t>
        </is>
      </c>
      <c r="E1095" s="20" t="n"/>
      <c r="F1095" s="20" t="inlineStr">
        <is>
          <t>Integrar</t>
        </is>
      </c>
    </row>
    <row r="1096">
      <c r="A1096" s="20" t="n">
        <v>112</v>
      </c>
      <c r="B1096" s="20" t="inlineStr">
        <is>
          <t>Agencia de Ciencia, Competitividad Empresarial e Innovación (SCEI) del Principado de Asturias</t>
        </is>
      </c>
      <c r="C1096" s="20" t="inlineStr">
        <is>
          <t>Clasificación: función</t>
        </is>
      </c>
      <c r="D1096" s="20" t="inlineStr">
        <is>
          <t>BX</t>
        </is>
      </c>
      <c r="E1096" s="20" t="n"/>
      <c r="F1096" s="20" t="inlineStr">
        <is>
          <t>Financiación y ayudas</t>
        </is>
      </c>
    </row>
    <row r="1097">
      <c r="A1097" s="20" t="n">
        <v>112</v>
      </c>
      <c r="B1097" s="20" t="inlineStr">
        <is>
          <t>Agencia de Ciencia, Competitividad Empresarial e Innovación (SCEI) del Principado de Asturias</t>
        </is>
      </c>
      <c r="C1097" s="20" t="inlineStr">
        <is>
          <t>Clasificación: duplicidad</t>
        </is>
      </c>
      <c r="D1097" s="20" t="inlineStr">
        <is>
          <t>BY</t>
        </is>
      </c>
      <c r="E1097" s="20" t="n"/>
      <c r="F1097" s="20" t="inlineStr">
        <is>
          <t>Paralelo a AEI y CDTI: cada nivel actúa con sus propios fondos o competencias. 10 organismos sobre este tema entre el Estado y las CCAA (verificados).</t>
        </is>
      </c>
    </row>
    <row r="1098">
      <c r="A1098" s="20" t="n">
        <v>112</v>
      </c>
      <c r="B1098" s="20" t="inlineStr">
        <is>
          <t>Agencia de Ciencia, Competitividad Empresarial e Innovación (SCEI) del Principado de Asturias</t>
        </is>
      </c>
      <c r="C1098" s="20" t="inlineStr">
        <is>
          <t>Clasificación: exigida por la UE</t>
        </is>
      </c>
      <c r="D1098" s="20" t="inlineStr">
        <is>
          <t>BZ</t>
        </is>
      </c>
      <c r="E1098" s="20" t="n"/>
      <c r="F1098" s="20" t="inlineStr">
        <is>
          <t>No</t>
        </is>
      </c>
    </row>
    <row r="1099">
      <c r="A1099" s="20" t="n">
        <v>112</v>
      </c>
      <c r="B1099" s="20" t="inlineStr">
        <is>
          <t>Agencia de Ciencia, Competitividad Empresarial e Innovación (SCEI) del Principado de Asturias</t>
        </is>
      </c>
      <c r="C1099" s="20" t="inlineStr">
        <is>
          <t>Clasificación: actividad reciente</t>
        </is>
      </c>
      <c r="D1099" s="20" t="inlineStr">
        <is>
          <t>CA</t>
        </is>
      </c>
      <c r="E1099" s="20" t="n"/>
      <c r="F1099" s="20" t="inlineStr">
        <is>
          <t>Parcial</t>
        </is>
      </c>
    </row>
    <row r="1100">
      <c r="A1100" s="20" t="n">
        <v>112</v>
      </c>
      <c r="B1100" s="20" t="inlineStr">
        <is>
          <t>Agencia de Ciencia, Competitividad Empresarial e Innovación (SCEI) del Principado de Asturias</t>
        </is>
      </c>
      <c r="C1100" s="20" t="inlineStr">
        <is>
          <t>Clasificación: motivo</t>
        </is>
      </c>
      <c r="D1100" s="20" t="inlineStr">
        <is>
          <t>CB</t>
        </is>
      </c>
      <c r="E1100" s="20" t="n"/>
      <c r="F1100" s="20" t="inlineStr">
        <is>
          <t>Agencia autonómica que financia I+D+i; la AEI y el CDTI ya financian en todo el territorio.</t>
        </is>
      </c>
    </row>
    <row r="1101">
      <c r="A1101" s="20" t="n">
        <v>112</v>
      </c>
      <c r="B1101" s="20" t="inlineStr">
        <is>
          <t>Agencia de Ciencia, Competitividad Empresarial e Innovación (SCEI) del Principado de Asturias</t>
        </is>
      </c>
      <c r="C1101" s="20" t="inlineStr">
        <is>
          <t>Clasificación: base en el P100</t>
        </is>
      </c>
      <c r="D1101" s="20" t="inlineStr">
        <is>
          <t>CC</t>
        </is>
      </c>
      <c r="E1101" s="20" t="n"/>
      <c r="F1101" s="20" t="inlineStr">
        <is>
          <t>Aplicando el criterio del P100: Criterio Extramuros del 12/10/2026</t>
        </is>
      </c>
    </row>
    <row r="1102">
      <c r="A1102" s="20" t="n">
        <v>112</v>
      </c>
      <c r="B1102" s="20" t="inlineStr">
        <is>
          <t>Agencia de Ciencia, Competitividad Empresarial e Innovación (SCEI) del Principado de Asturias</t>
        </is>
      </c>
      <c r="C1102" s="20" t="inlineStr">
        <is>
          <t>Clasificación: destino de sus funciones</t>
        </is>
      </c>
      <c r="D1102" s="20" t="inlineStr">
        <is>
          <t>CD</t>
        </is>
      </c>
      <c r="E1102" s="20" t="n"/>
      <c r="F1102" s="20" t="inlineStr">
        <is>
          <t>Agencia Estatal de Investigación (AEI) y Centro para el Desarrollo Tecnológico y la Innovación (CDTI, E.P.E.); la consejería autonómica para fondos propios</t>
        </is>
      </c>
    </row>
    <row r="1103">
      <c r="A1103" s="20" t="n">
        <v>112</v>
      </c>
      <c r="B1103" s="20" t="inlineStr">
        <is>
          <t>Agencia de Ciencia, Competitividad Empresarial e Innovación (SCEI) del Principado de Asturias</t>
        </is>
      </c>
      <c r="C1103" s="20" t="inlineStr">
        <is>
          <t>Tema funcional</t>
        </is>
      </c>
      <c r="D1103" s="20" t="inlineStr">
        <is>
          <t>CE</t>
        </is>
      </c>
      <c r="E1103" s="20" t="n"/>
      <c r="F1103" s="20" t="inlineStr">
        <is>
          <t>Agencias de investigación e innovación</t>
        </is>
      </c>
    </row>
    <row r="1104">
      <c r="A1104" s="20" t="n">
        <v>112</v>
      </c>
      <c r="B1104" s="20" t="inlineStr">
        <is>
          <t>Agencia de Ciencia, Competitividad Empresarial e Innovación (SCEI) del Principado de Asturias</t>
        </is>
      </c>
      <c r="C1104" s="20" t="inlineStr">
        <is>
          <t>Organismos del mismo tema (Estado + CCAA, verificados)</t>
        </is>
      </c>
      <c r="D1104" s="20" t="inlineStr">
        <is>
          <t>CF</t>
        </is>
      </c>
      <c r="E1104" s="20" t="n"/>
      <c r="F1104" s="20" t="n">
        <v>10</v>
      </c>
    </row>
    <row r="1105">
      <c r="A1105" s="20" t="n">
        <v>113</v>
      </c>
      <c r="B1105" s="20" t="inlineStr">
        <is>
          <t>Consejo de Transparencia y Buen Gobierno del Principado de Asturias</t>
        </is>
      </c>
      <c r="C1105" s="20" t="inlineStr">
        <is>
          <t>Clasificación: útil / no útil</t>
        </is>
      </c>
      <c r="D1105" s="20" t="inlineStr">
        <is>
          <t>BV</t>
        </is>
      </c>
      <c r="E1105" s="20" t="n"/>
      <c r="F1105" s="20" t="inlineStr">
        <is>
          <t>No útil</t>
        </is>
      </c>
    </row>
    <row r="1106">
      <c r="A1106" s="20" t="n">
        <v>113</v>
      </c>
      <c r="B1106" s="20" t="inlineStr">
        <is>
          <t>Consejo de Transparencia y Buen Gobierno del Principado de Asturias</t>
        </is>
      </c>
      <c r="C1106" s="20" t="inlineStr">
        <is>
          <t>Clasificación: veredicto</t>
        </is>
      </c>
      <c r="D1106" s="20" t="inlineStr">
        <is>
          <t>BW</t>
        </is>
      </c>
      <c r="E1106" s="20" t="n"/>
      <c r="F1106" s="20" t="inlineStr">
        <is>
          <t>Integrar</t>
        </is>
      </c>
    </row>
    <row r="1107">
      <c r="A1107" s="20" t="n">
        <v>113</v>
      </c>
      <c r="B1107" s="20" t="inlineStr">
        <is>
          <t>Consejo de Transparencia y Buen Gobierno del Principado de Asturias</t>
        </is>
      </c>
      <c r="C1107" s="20" t="inlineStr">
        <is>
          <t>Clasificación: función</t>
        </is>
      </c>
      <c r="D1107" s="20" t="inlineStr">
        <is>
          <t>BX</t>
        </is>
      </c>
      <c r="E1107" s="20" t="n"/>
      <c r="F1107" s="20" t="inlineStr">
        <is>
          <t>Control interno y cumplimiento</t>
        </is>
      </c>
    </row>
    <row r="1108">
      <c r="A1108" s="20" t="n">
        <v>113</v>
      </c>
      <c r="B1108" s="20" t="inlineStr">
        <is>
          <t>Consejo de Transparencia y Buen Gobierno del Principado de Asturias</t>
        </is>
      </c>
      <c r="C1108" s="20" t="inlineStr">
        <is>
          <t>Clasificación: duplicidad</t>
        </is>
      </c>
      <c r="D1108" s="20" t="inlineStr">
        <is>
          <t>BY</t>
        </is>
      </c>
      <c r="E1108" s="20" t="n"/>
      <c r="F1108" s="20" t="inlineStr">
        <is>
          <t>Duplica a CTBG, que ya cubre este territorio o puede hacerlo. 13 organismos sobre este tema entre el Estado y las CCAA (verificados).</t>
        </is>
      </c>
    </row>
    <row r="1109">
      <c r="A1109" s="20" t="n">
        <v>113</v>
      </c>
      <c r="B1109" s="20" t="inlineStr">
        <is>
          <t>Consejo de Transparencia y Buen Gobierno del Principado de Asturias</t>
        </is>
      </c>
      <c r="C1109" s="20" t="inlineStr">
        <is>
          <t>Clasificación: exigida por la UE</t>
        </is>
      </c>
      <c r="D1109" s="20" t="inlineStr">
        <is>
          <t>BZ</t>
        </is>
      </c>
      <c r="E1109" s="20" t="n"/>
      <c r="F1109" s="20" t="inlineStr">
        <is>
          <t>No</t>
        </is>
      </c>
    </row>
    <row r="1110">
      <c r="A1110" s="20" t="n">
        <v>113</v>
      </c>
      <c r="B1110" s="20" t="inlineStr">
        <is>
          <t>Consejo de Transparencia y Buen Gobierno del Principado de Asturias</t>
        </is>
      </c>
      <c r="C1110" s="20" t="inlineStr">
        <is>
          <t>Clasificación: actividad reciente</t>
        </is>
      </c>
      <c r="D1110" s="20" t="inlineStr">
        <is>
          <t>CA</t>
        </is>
      </c>
      <c r="E1110" s="20" t="n"/>
      <c r="F1110" s="20" t="inlineStr">
        <is>
          <t>Parcial</t>
        </is>
      </c>
    </row>
    <row r="1111">
      <c r="A1111" s="20" t="n">
        <v>113</v>
      </c>
      <c r="B1111" s="20" t="inlineStr">
        <is>
          <t>Consejo de Transparencia y Buen Gobierno del Principado de Asturias</t>
        </is>
      </c>
      <c r="C1111" s="20" t="inlineStr">
        <is>
          <t>Clasificación: motivo</t>
        </is>
      </c>
      <c r="D1111" s="20" t="inlineStr">
        <is>
          <t>CB</t>
        </is>
      </c>
      <c r="E1111" s="20" t="n"/>
      <c r="F1111" s="20" t="inlineStr">
        <is>
          <t>Consejo asturiano que no funciona: Asturias firmó en 2026 un nuevo convenio con el CTBG.</t>
        </is>
      </c>
    </row>
    <row r="1112">
      <c r="A1112" s="20" t="n">
        <v>113</v>
      </c>
      <c r="B1112" s="20" t="inlineStr">
        <is>
          <t>Consejo de Transparencia y Buen Gobierno del Principado de Asturias</t>
        </is>
      </c>
      <c r="C1112" s="20" t="inlineStr">
        <is>
          <t>Clasificación: base en el P100</t>
        </is>
      </c>
      <c r="D1112" s="20" t="inlineStr">
        <is>
          <t>CC</t>
        </is>
      </c>
      <c r="E1112" s="20" t="n"/>
      <c r="F1112" s="20" t="inlineStr">
        <is>
          <t>Aplicando el criterio del P100: Criterio Extramuros del 12/10/2026</t>
        </is>
      </c>
    </row>
    <row r="1113">
      <c r="A1113" s="20" t="n">
        <v>113</v>
      </c>
      <c r="B1113" s="20" t="inlineStr">
        <is>
          <t>Consejo de Transparencia y Buen Gobierno del Principado de Asturias</t>
        </is>
      </c>
      <c r="C1113" s="20" t="inlineStr">
        <is>
          <t>Clasificación: destino de sus funciones</t>
        </is>
      </c>
      <c r="D1113" s="20" t="inlineStr">
        <is>
          <t>CD</t>
        </is>
      </c>
      <c r="E1113" s="20" t="n"/>
      <c r="F1113" s="20" t="inlineStr">
        <is>
          <t>Consejo de Transparencia y Buen Gobierno (CTBG)</t>
        </is>
      </c>
    </row>
    <row r="1114">
      <c r="A1114" s="20" t="n">
        <v>113</v>
      </c>
      <c r="B1114" s="20" t="inlineStr">
        <is>
          <t>Consejo de Transparencia y Buen Gobierno del Principado de Asturias</t>
        </is>
      </c>
      <c r="C1114" s="20" t="inlineStr">
        <is>
          <t>Tema funcional</t>
        </is>
      </c>
      <c r="D1114" s="20" t="inlineStr">
        <is>
          <t>CE</t>
        </is>
      </c>
      <c r="E1114" s="20" t="n"/>
      <c r="F1114" s="20" t="inlineStr">
        <is>
          <t>Consejos de transparencia</t>
        </is>
      </c>
    </row>
    <row r="1115">
      <c r="A1115" s="20" t="n">
        <v>113</v>
      </c>
      <c r="B1115" s="20" t="inlineStr">
        <is>
          <t>Consejo de Transparencia y Buen Gobierno del Principado de Asturias</t>
        </is>
      </c>
      <c r="C1115" s="20" t="inlineStr">
        <is>
          <t>Organismos del mismo tema (Estado + CCAA, verificados)</t>
        </is>
      </c>
      <c r="D1115" s="20" t="inlineStr">
        <is>
          <t>CF</t>
        </is>
      </c>
      <c r="E1115" s="20" t="n"/>
      <c r="F1115" s="20" t="n">
        <v>13</v>
      </c>
    </row>
    <row r="1116">
      <c r="A1116" s="20" t="n">
        <v>114</v>
      </c>
      <c r="B1116" s="20" t="inlineStr">
        <is>
          <t>Organismo Autónomo Servicio de Emergencias de Cantabria (SEMCA)</t>
        </is>
      </c>
      <c r="C1116" s="20" t="inlineStr">
        <is>
          <t>Clasificación: útil / no útil</t>
        </is>
      </c>
      <c r="D1116" s="20" t="inlineStr">
        <is>
          <t>BV</t>
        </is>
      </c>
      <c r="E1116" s="20" t="n"/>
      <c r="F1116" s="20" t="inlineStr">
        <is>
          <t>Útil</t>
        </is>
      </c>
    </row>
    <row r="1117">
      <c r="A1117" s="20" t="n">
        <v>114</v>
      </c>
      <c r="B1117" s="20" t="inlineStr">
        <is>
          <t>Organismo Autónomo Servicio de Emergencias de Cantabria (SEMCA)</t>
        </is>
      </c>
      <c r="C1117" s="20" t="inlineStr">
        <is>
          <t>Clasificación: veredicto</t>
        </is>
      </c>
      <c r="D1117" s="20" t="inlineStr">
        <is>
          <t>BW</t>
        </is>
      </c>
      <c r="E1117" s="20" t="n"/>
      <c r="F1117" s="20" t="inlineStr">
        <is>
          <t>Mantener</t>
        </is>
      </c>
    </row>
    <row r="1118">
      <c r="A1118" s="20" t="n">
        <v>114</v>
      </c>
      <c r="B1118" s="20" t="inlineStr">
        <is>
          <t>Organismo Autónomo Servicio de Emergencias de Cantabria (SEMCA)</t>
        </is>
      </c>
      <c r="C1118" s="20" t="inlineStr">
        <is>
          <t>Clasificación: función</t>
        </is>
      </c>
      <c r="D1118" s="20" t="inlineStr">
        <is>
          <t>BX</t>
        </is>
      </c>
      <c r="E1118" s="20" t="n"/>
      <c r="F1118" s="20" t="inlineStr">
        <is>
          <t>Servicio público directo</t>
        </is>
      </c>
    </row>
    <row r="1119">
      <c r="A1119" s="20" t="n">
        <v>114</v>
      </c>
      <c r="B1119" s="20" t="inlineStr">
        <is>
          <t>Organismo Autónomo Servicio de Emergencias de Cantabria (SEMCA)</t>
        </is>
      </c>
      <c r="C1119" s="20" t="inlineStr">
        <is>
          <t>Clasificación: duplicidad</t>
        </is>
      </c>
      <c r="D1119" s="20" t="inlineStr">
        <is>
          <t>BY</t>
        </is>
      </c>
      <c r="E1119" s="20" t="n"/>
      <c r="F1119" s="20" t="inlineStr">
        <is>
          <t>Competencia autonómica que el Estado no presta en ese territorio; la duplicidad es de forma (agencia propia o dirección general). 9 organismos sobre este tema entre el Estado y las CCAA (verificados).</t>
        </is>
      </c>
    </row>
    <row r="1120">
      <c r="A1120" s="20" t="n">
        <v>114</v>
      </c>
      <c r="B1120" s="20" t="inlineStr">
        <is>
          <t>Organismo Autónomo Servicio de Emergencias de Cantabria (SEMCA)</t>
        </is>
      </c>
      <c r="C1120" s="20" t="inlineStr">
        <is>
          <t>Clasificación: exigida por la UE</t>
        </is>
      </c>
      <c r="D1120" s="20" t="inlineStr">
        <is>
          <t>BZ</t>
        </is>
      </c>
      <c r="E1120" s="20" t="n"/>
      <c r="F1120" s="20" t="inlineStr">
        <is>
          <t>No</t>
        </is>
      </c>
    </row>
    <row r="1121">
      <c r="A1121" s="20" t="n">
        <v>114</v>
      </c>
      <c r="B1121" s="20" t="inlineStr">
        <is>
          <t>Organismo Autónomo Servicio de Emergencias de Cantabria (SEMCA)</t>
        </is>
      </c>
      <c r="C1121" s="20" t="inlineStr">
        <is>
          <t>Clasificación: actividad reciente</t>
        </is>
      </c>
      <c r="D1121" s="20" t="inlineStr">
        <is>
          <t>CA</t>
        </is>
      </c>
      <c r="E1121" s="20" t="n"/>
      <c r="F1121" s="20" t="inlineStr">
        <is>
          <t>Parcial</t>
        </is>
      </c>
    </row>
    <row r="1122">
      <c r="A1122" s="20" t="n">
        <v>114</v>
      </c>
      <c r="B1122" s="20" t="inlineStr">
        <is>
          <t>Organismo Autónomo Servicio de Emergencias de Cantabria (SEMCA)</t>
        </is>
      </c>
      <c r="C1122" s="20" t="inlineStr">
        <is>
          <t>Clasificación: motivo</t>
        </is>
      </c>
      <c r="D1122" s="20" t="inlineStr">
        <is>
          <t>CB</t>
        </is>
      </c>
      <c r="E1122" s="20" t="n"/>
      <c r="F1122" s="20" t="inlineStr">
        <is>
          <t>Bomberos, emergencias y 112: un servicio que el Estado no presta en ese territorio. Un «mando único» o integración operativa dentro de la comunidad (p. ej. 112, GREA e IESPA en Andalucía) no es el veredicto «Integrar» del P100: no hay organismo estatal que absorba el 112; los 17 centros son autonómicos.</t>
        </is>
      </c>
    </row>
    <row r="1123">
      <c r="A1123" s="20" t="n">
        <v>114</v>
      </c>
      <c r="B1123" s="20" t="inlineStr">
        <is>
          <t>Organismo Autónomo Servicio de Emergencias de Cantabria (SEMCA)</t>
        </is>
      </c>
      <c r="C1123" s="20" t="inlineStr">
        <is>
          <t>Clasificación: base en el P100</t>
        </is>
      </c>
      <c r="D1123" s="20" t="inlineStr">
        <is>
          <t>CC</t>
        </is>
      </c>
      <c r="E1123" s="20" t="n"/>
      <c r="F1123" s="20" t="inlineStr">
        <is>
          <t>Aplicando el criterio del P100: Servicio directo que el Estado no presta</t>
        </is>
      </c>
    </row>
    <row r="1124">
      <c r="A1124" s="20" t="n">
        <v>114</v>
      </c>
      <c r="B1124" s="20" t="inlineStr">
        <is>
          <t>Organismo Autónomo Servicio de Emergencias de Cantabria (SEMCA)</t>
        </is>
      </c>
      <c r="C1124" s="20" t="inlineStr">
        <is>
          <t>Tema funcional</t>
        </is>
      </c>
      <c r="D1124" s="20" t="inlineStr">
        <is>
          <t>CE</t>
        </is>
      </c>
      <c r="E1124" s="20" t="n"/>
      <c r="F1124" s="20" t="inlineStr">
        <is>
          <t>Entes de emergencias 112</t>
        </is>
      </c>
    </row>
    <row r="1125">
      <c r="A1125" s="20" t="n">
        <v>114</v>
      </c>
      <c r="B1125" s="20" t="inlineStr">
        <is>
          <t>Organismo Autónomo Servicio de Emergencias de Cantabria (SEMCA)</t>
        </is>
      </c>
      <c r="C1125" s="20" t="inlineStr">
        <is>
          <t>Organismos del mismo tema (Estado + CCAA, verificados)</t>
        </is>
      </c>
      <c r="D1125" s="20" t="inlineStr">
        <is>
          <t>CF</t>
        </is>
      </c>
      <c r="E1125" s="20" t="n"/>
      <c r="F1125" s="20" t="n">
        <v>9</v>
      </c>
    </row>
    <row r="1126">
      <c r="A1126" s="20" t="n">
        <v>115</v>
      </c>
      <c r="B1126" s="20" t="inlineStr">
        <is>
          <t>Consejo de la Juventud de Cantabria</t>
        </is>
      </c>
      <c r="C1126" s="20" t="inlineStr">
        <is>
          <t>Clasificación: útil / no útil</t>
        </is>
      </c>
      <c r="D1126" s="20" t="inlineStr">
        <is>
          <t>BV</t>
        </is>
      </c>
      <c r="E1126" s="20" t="n"/>
      <c r="F1126" s="20" t="inlineStr">
        <is>
          <t>No útil</t>
        </is>
      </c>
    </row>
    <row r="1127">
      <c r="A1127" s="20" t="n">
        <v>115</v>
      </c>
      <c r="B1127" s="20" t="inlineStr">
        <is>
          <t>Consejo de la Juventud de Cantabria</t>
        </is>
      </c>
      <c r="C1127" s="20" t="inlineStr">
        <is>
          <t>Clasificación: veredicto</t>
        </is>
      </c>
      <c r="D1127" s="20" t="inlineStr">
        <is>
          <t>BW</t>
        </is>
      </c>
      <c r="E1127" s="20" t="n"/>
      <c r="F1127" s="20" t="inlineStr">
        <is>
          <t>Suprimir</t>
        </is>
      </c>
    </row>
    <row r="1128">
      <c r="A1128" s="20" t="n">
        <v>115</v>
      </c>
      <c r="B1128" s="20" t="inlineStr">
        <is>
          <t>Consejo de la Juventud de Cantabria</t>
        </is>
      </c>
      <c r="C1128" s="20" t="inlineStr">
        <is>
          <t>Clasificación: función</t>
        </is>
      </c>
      <c r="D1128" s="20" t="inlineStr">
        <is>
          <t>BX</t>
        </is>
      </c>
      <c r="E1128" s="20" t="n"/>
      <c r="F1128" s="20" t="inlineStr">
        <is>
          <t>Consultivo o participación</t>
        </is>
      </c>
    </row>
    <row r="1129">
      <c r="A1129" s="20" t="n">
        <v>115</v>
      </c>
      <c r="B1129" s="20" t="inlineStr">
        <is>
          <t>Consejo de la Juventud de Cantabria</t>
        </is>
      </c>
      <c r="C1129" s="20" t="inlineStr">
        <is>
          <t>Clasificación: duplicidad</t>
        </is>
      </c>
      <c r="D1129" s="20" t="inlineStr">
        <is>
          <t>BY</t>
        </is>
      </c>
      <c r="E1129" s="20" t="n"/>
      <c r="F1129" s="20" t="inlineStr">
        <is>
          <t>Paralelo a Consejo de la Juventud de España: cada nivel actúa con sus propios fondos o competencias. 12 organismos sobre este tema entre el Estado y las CCAA (verificados).</t>
        </is>
      </c>
    </row>
    <row r="1130">
      <c r="A1130" s="20" t="n">
        <v>115</v>
      </c>
      <c r="B1130" s="20" t="inlineStr">
        <is>
          <t>Consejo de la Juventud de Cantabria</t>
        </is>
      </c>
      <c r="C1130" s="20" t="inlineStr">
        <is>
          <t>Clasificación: exigida por la UE</t>
        </is>
      </c>
      <c r="D1130" s="20" t="inlineStr">
        <is>
          <t>BZ</t>
        </is>
      </c>
      <c r="E1130" s="20" t="n"/>
      <c r="F1130" s="20" t="inlineStr">
        <is>
          <t>No</t>
        </is>
      </c>
    </row>
    <row r="1131">
      <c r="A1131" s="20" t="n">
        <v>115</v>
      </c>
      <c r="B1131" s="20" t="inlineStr">
        <is>
          <t>Consejo de la Juventud de Cantabria</t>
        </is>
      </c>
      <c r="C1131" s="20" t="inlineStr">
        <is>
          <t>Clasificación: actividad reciente</t>
        </is>
      </c>
      <c r="D1131" s="20" t="inlineStr">
        <is>
          <t>CA</t>
        </is>
      </c>
      <c r="E1131" s="20" t="n"/>
      <c r="F1131" s="20" t="inlineStr">
        <is>
          <t>No acreditada</t>
        </is>
      </c>
    </row>
    <row r="1132">
      <c r="A1132" s="20" t="n">
        <v>115</v>
      </c>
      <c r="B1132" s="20" t="inlineStr">
        <is>
          <t>Consejo de la Juventud de Cantabria</t>
        </is>
      </c>
      <c r="C1132" s="20" t="inlineStr">
        <is>
          <t>Clasificación: motivo</t>
        </is>
      </c>
      <c r="D1132" s="20" t="inlineStr">
        <is>
          <t>CB</t>
        </is>
      </c>
      <c r="E1132" s="20" t="n"/>
      <c r="F1132" s="20" t="inlineStr">
        <is>
          <t>Órgano de representación juvenil: el P100 no financia entidades por existir.</t>
        </is>
      </c>
    </row>
    <row r="1133">
      <c r="A1133" s="20" t="n">
        <v>115</v>
      </c>
      <c r="B1133" s="20" t="inlineStr">
        <is>
          <t>Consejo de la Juventud de Cantabria</t>
        </is>
      </c>
      <c r="C1133" s="20" t="inlineStr">
        <is>
          <t>Clasificación: base en el P100</t>
        </is>
      </c>
      <c r="D1133" s="20" t="inlineStr">
        <is>
          <t>CC</t>
        </is>
      </c>
      <c r="E1133" s="20" t="n"/>
      <c r="F1133" s="20" t="inlineStr">
        <is>
          <t>Aplicando el criterio del P100: Costes del Estado 2 y 3 (aplicados a las CCAA)</t>
        </is>
      </c>
    </row>
    <row r="1134">
      <c r="A1134" s="20" t="n">
        <v>115</v>
      </c>
      <c r="B1134" s="20" t="inlineStr">
        <is>
          <t>Consejo de la Juventud de Cantabria</t>
        </is>
      </c>
      <c r="C1134" s="20" t="inlineStr">
        <is>
          <t>Tema funcional</t>
        </is>
      </c>
      <c r="D1134" s="20" t="inlineStr">
        <is>
          <t>CE</t>
        </is>
      </c>
      <c r="E1134" s="20" t="n"/>
      <c r="F1134" s="20" t="inlineStr">
        <is>
          <t>Consejos de la juventud</t>
        </is>
      </c>
    </row>
    <row r="1135">
      <c r="A1135" s="20" t="n">
        <v>115</v>
      </c>
      <c r="B1135" s="20" t="inlineStr">
        <is>
          <t>Consejo de la Juventud de Cantabria</t>
        </is>
      </c>
      <c r="C1135" s="20" t="inlineStr">
        <is>
          <t>Organismos del mismo tema (Estado + CCAA, verificados)</t>
        </is>
      </c>
      <c r="D1135" s="20" t="inlineStr">
        <is>
          <t>CF</t>
        </is>
      </c>
      <c r="E1135" s="20" t="n"/>
      <c r="F1135" s="20" t="n">
        <v>12</v>
      </c>
    </row>
    <row r="1136">
      <c r="A1136" s="20" t="n">
        <v>115</v>
      </c>
      <c r="B1136" s="20" t="inlineStr">
        <is>
          <t>Consejo de la Juventud de Cantabria</t>
        </is>
      </c>
      <c r="C1136" s="20" t="inlineStr">
        <is>
          <t>Coste de apoyo (sin presupuesto propio): unidad, vocales y dietas</t>
        </is>
      </c>
      <c r="D1136" s="20" t="inlineStr">
        <is>
          <t>CG</t>
        </is>
      </c>
      <c r="E1136" s="20" t="n"/>
      <c r="F1136" s="20" t="inlineStr">
        <is>
          <t>Apoyo: Consejería competente en Juventud del Gobierno de Cantabria, que debe aportar medios «materiales, técnicos, económicos y humanos» (art. 19.2 Ley 1/2019) y apoyo técnico en contratación (art. 23).</t>
        </is>
      </c>
    </row>
    <row r="1137">
      <c r="A1137" s="20" t="n">
        <v>116</v>
      </c>
      <c r="B1137" s="20" t="inlineStr">
        <is>
          <t>Instituto Cántabro de Administración Pública 'Rafael de la Sierra' (ICAP)</t>
        </is>
      </c>
      <c r="C1137" s="20" t="inlineStr">
        <is>
          <t>Clasificación: útil / no útil</t>
        </is>
      </c>
      <c r="D1137" s="20" t="inlineStr">
        <is>
          <t>BV</t>
        </is>
      </c>
      <c r="E1137" s="20" t="n"/>
      <c r="F1137" s="20" t="inlineStr">
        <is>
          <t>No útil</t>
        </is>
      </c>
    </row>
    <row r="1138">
      <c r="A1138" s="20" t="n">
        <v>116</v>
      </c>
      <c r="B1138" s="20" t="inlineStr">
        <is>
          <t>Instituto Cántabro de Administración Pública 'Rafael de la Sierra' (ICAP)</t>
        </is>
      </c>
      <c r="C1138" s="20" t="inlineStr">
        <is>
          <t>Clasificación: veredicto</t>
        </is>
      </c>
      <c r="D1138" s="20" t="inlineStr">
        <is>
          <t>BW</t>
        </is>
      </c>
      <c r="E1138" s="20" t="n"/>
      <c r="F1138" s="20" t="inlineStr">
        <is>
          <t>Integrar</t>
        </is>
      </c>
    </row>
    <row r="1139">
      <c r="A1139" s="20" t="n">
        <v>116</v>
      </c>
      <c r="B1139" s="20" t="inlineStr">
        <is>
          <t>Instituto Cántabro de Administración Pública 'Rafael de la Sierra' (ICAP)</t>
        </is>
      </c>
      <c r="C1139" s="20" t="inlineStr">
        <is>
          <t>Clasificación: función</t>
        </is>
      </c>
      <c r="D1139" s="20" t="inlineStr">
        <is>
          <t>BX</t>
        </is>
      </c>
      <c r="E1139" s="20" t="n"/>
      <c r="F1139" s="20" t="inlineStr">
        <is>
          <t>Servicio público directo</t>
        </is>
      </c>
    </row>
    <row r="1140">
      <c r="A1140" s="20" t="n">
        <v>116</v>
      </c>
      <c r="B1140" s="20" t="inlineStr">
        <is>
          <t>Instituto Cántabro de Administración Pública 'Rafael de la Sierra' (ICAP)</t>
        </is>
      </c>
      <c r="C1140" s="20" t="inlineStr">
        <is>
          <t>Clasificación: duplicidad</t>
        </is>
      </c>
      <c r="D1140" s="20" t="inlineStr">
        <is>
          <t>BY</t>
        </is>
      </c>
      <c r="E1140" s="20" t="n"/>
      <c r="F1140" s="20" t="inlineStr">
        <is>
          <t>Competencia autonómica que el Estado no presta en ese territorio; la duplicidad es de forma (agencia propia o dirección general). 13 organismos sobre este tema entre el Estado y las CCAA (verificados).</t>
        </is>
      </c>
    </row>
    <row r="1141">
      <c r="A1141" s="20" t="n">
        <v>116</v>
      </c>
      <c r="B1141" s="20" t="inlineStr">
        <is>
          <t>Instituto Cántabro de Administración Pública 'Rafael de la Sierra' (ICAP)</t>
        </is>
      </c>
      <c r="C1141" s="20" t="inlineStr">
        <is>
          <t>Clasificación: exigida por la UE</t>
        </is>
      </c>
      <c r="D1141" s="20" t="inlineStr">
        <is>
          <t>BZ</t>
        </is>
      </c>
      <c r="E1141" s="20" t="n"/>
      <c r="F1141" s="20" t="inlineStr">
        <is>
          <t>No</t>
        </is>
      </c>
    </row>
    <row r="1142">
      <c r="A1142" s="20" t="n">
        <v>116</v>
      </c>
      <c r="B1142" s="20" t="inlineStr">
        <is>
          <t>Instituto Cántabro de Administración Pública 'Rafael de la Sierra' (ICAP)</t>
        </is>
      </c>
      <c r="C1142" s="20" t="inlineStr">
        <is>
          <t>Clasificación: actividad reciente</t>
        </is>
      </c>
      <c r="D1142" s="20" t="inlineStr">
        <is>
          <t>CA</t>
        </is>
      </c>
      <c r="E1142" s="20" t="n"/>
      <c r="F1142" s="20" t="inlineStr">
        <is>
          <t>Parcial</t>
        </is>
      </c>
    </row>
    <row r="1143">
      <c r="A1143" s="20" t="n">
        <v>116</v>
      </c>
      <c r="B1143" s="20" t="inlineStr">
        <is>
          <t>Instituto Cántabro de Administración Pública 'Rafael de la Sierra' (ICAP)</t>
        </is>
      </c>
      <c r="C1143" s="20" t="inlineStr">
        <is>
          <t>Clasificación: motivo</t>
        </is>
      </c>
      <c r="D1143" s="20" t="inlineStr">
        <is>
          <t>CB</t>
        </is>
      </c>
      <c r="E1143" s="20" t="n"/>
      <c r="F1143" s="20" t="inlineStr">
        <is>
          <t>Formación de funcionarios autonómicos: servicio interno que no exige una entidad propia.</t>
        </is>
      </c>
    </row>
    <row r="1144">
      <c r="A1144" s="20" t="n">
        <v>116</v>
      </c>
      <c r="B1144" s="20" t="inlineStr">
        <is>
          <t>Instituto Cántabro de Administración Pública 'Rafael de la Sierra' (ICAP)</t>
        </is>
      </c>
      <c r="C1144" s="20" t="inlineStr">
        <is>
          <t>Clasificación: base en el P100</t>
        </is>
      </c>
      <c r="D1144" s="20" t="inlineStr">
        <is>
          <t>CC</t>
        </is>
      </c>
      <c r="E1144" s="20" t="n"/>
      <c r="F1144" s="20" t="inlineStr">
        <is>
          <t>Aplicando el criterio del P100: Costes del Estado 9 (aplicado a las CCAA)</t>
        </is>
      </c>
    </row>
    <row r="1145">
      <c r="A1145" s="20" t="n">
        <v>116</v>
      </c>
      <c r="B1145" s="20" t="inlineStr">
        <is>
          <t>Instituto Cántabro de Administración Pública 'Rafael de la Sierra' (ICAP)</t>
        </is>
      </c>
      <c r="C1145" s="20" t="inlineStr">
        <is>
          <t>Clasificación: destino de sus funciones</t>
        </is>
      </c>
      <c r="D1145" s="20" t="inlineStr">
        <is>
          <t>CD</t>
        </is>
      </c>
      <c r="E1145" s="20" t="n"/>
      <c r="F1145" s="20" t="inlineStr">
        <is>
          <t>Consejería autonómica competente</t>
        </is>
      </c>
    </row>
    <row r="1146">
      <c r="A1146" s="20" t="n">
        <v>116</v>
      </c>
      <c r="B1146" s="20" t="inlineStr">
        <is>
          <t>Instituto Cántabro de Administración Pública 'Rafael de la Sierra' (ICAP)</t>
        </is>
      </c>
      <c r="C1146" s="20" t="inlineStr">
        <is>
          <t>Tema funcional</t>
        </is>
      </c>
      <c r="D1146" s="20" t="inlineStr">
        <is>
          <t>CE</t>
        </is>
      </c>
      <c r="E1146" s="20" t="n"/>
      <c r="F1146" s="20" t="inlineStr">
        <is>
          <t>Escuelas e institutos de formación de empleados públicos</t>
        </is>
      </c>
    </row>
    <row r="1147">
      <c r="A1147" s="20" t="n">
        <v>116</v>
      </c>
      <c r="B1147" s="20" t="inlineStr">
        <is>
          <t>Instituto Cántabro de Administración Pública 'Rafael de la Sierra' (ICAP)</t>
        </is>
      </c>
      <c r="C1147" s="20" t="inlineStr">
        <is>
          <t>Organismos del mismo tema (Estado + CCAA, verificados)</t>
        </is>
      </c>
      <c r="D1147" s="20" t="inlineStr">
        <is>
          <t>CF</t>
        </is>
      </c>
      <c r="E1147" s="20" t="n"/>
      <c r="F1147" s="20" t="n">
        <v>13</v>
      </c>
    </row>
    <row r="1148">
      <c r="A1148" s="20" t="n">
        <v>117</v>
      </c>
      <c r="B1148" s="20" t="inlineStr">
        <is>
          <t>Agencia de Investigación e Innovación de Castilla-La Mancha (OA)</t>
        </is>
      </c>
      <c r="C1148" s="20" t="inlineStr">
        <is>
          <t>Clasificación: útil / no útil</t>
        </is>
      </c>
      <c r="D1148" s="20" t="inlineStr">
        <is>
          <t>BV</t>
        </is>
      </c>
      <c r="E1148" s="20" t="n"/>
      <c r="F1148" s="20" t="inlineStr">
        <is>
          <t>No útil</t>
        </is>
      </c>
    </row>
    <row r="1149">
      <c r="A1149" s="20" t="n">
        <v>117</v>
      </c>
      <c r="B1149" s="20" t="inlineStr">
        <is>
          <t>Agencia de Investigación e Innovación de Castilla-La Mancha (OA)</t>
        </is>
      </c>
      <c r="C1149" s="20" t="inlineStr">
        <is>
          <t>Clasificación: veredicto</t>
        </is>
      </c>
      <c r="D1149" s="20" t="inlineStr">
        <is>
          <t>BW</t>
        </is>
      </c>
      <c r="E1149" s="20" t="n"/>
      <c r="F1149" s="20" t="inlineStr">
        <is>
          <t>Integrar</t>
        </is>
      </c>
    </row>
    <row r="1150">
      <c r="A1150" s="20" t="n">
        <v>117</v>
      </c>
      <c r="B1150" s="20" t="inlineStr">
        <is>
          <t>Agencia de Investigación e Innovación de Castilla-La Mancha (OA)</t>
        </is>
      </c>
      <c r="C1150" s="20" t="inlineStr">
        <is>
          <t>Clasificación: función</t>
        </is>
      </c>
      <c r="D1150" s="20" t="inlineStr">
        <is>
          <t>BX</t>
        </is>
      </c>
      <c r="E1150" s="20" t="n"/>
      <c r="F1150" s="20" t="inlineStr">
        <is>
          <t>Financiación y ayudas</t>
        </is>
      </c>
    </row>
    <row r="1151">
      <c r="A1151" s="20" t="n">
        <v>117</v>
      </c>
      <c r="B1151" s="20" t="inlineStr">
        <is>
          <t>Agencia de Investigación e Innovación de Castilla-La Mancha (OA)</t>
        </is>
      </c>
      <c r="C1151" s="20" t="inlineStr">
        <is>
          <t>Clasificación: duplicidad</t>
        </is>
      </c>
      <c r="D1151" s="20" t="inlineStr">
        <is>
          <t>BY</t>
        </is>
      </c>
      <c r="E1151" s="20" t="n"/>
      <c r="F1151" s="20" t="inlineStr">
        <is>
          <t>Paralelo a AEI y CDTI: cada nivel actúa con sus propios fondos o competencias. 10 organismos sobre este tema entre el Estado y las CCAA (verificados).</t>
        </is>
      </c>
    </row>
    <row r="1152">
      <c r="A1152" s="20" t="n">
        <v>117</v>
      </c>
      <c r="B1152" s="20" t="inlineStr">
        <is>
          <t>Agencia de Investigación e Innovación de Castilla-La Mancha (OA)</t>
        </is>
      </c>
      <c r="C1152" s="20" t="inlineStr">
        <is>
          <t>Clasificación: exigida por la UE</t>
        </is>
      </c>
      <c r="D1152" s="20" t="inlineStr">
        <is>
          <t>BZ</t>
        </is>
      </c>
      <c r="E1152" s="20" t="n"/>
      <c r="F1152" s="20" t="inlineStr">
        <is>
          <t>No</t>
        </is>
      </c>
    </row>
    <row r="1153">
      <c r="A1153" s="20" t="n">
        <v>117</v>
      </c>
      <c r="B1153" s="20" t="inlineStr">
        <is>
          <t>Agencia de Investigación e Innovación de Castilla-La Mancha (OA)</t>
        </is>
      </c>
      <c r="C1153" s="20" t="inlineStr">
        <is>
          <t>Clasificación: actividad reciente</t>
        </is>
      </c>
      <c r="D1153" s="20" t="inlineStr">
        <is>
          <t>CA</t>
        </is>
      </c>
      <c r="E1153" s="20" t="n"/>
      <c r="F1153" s="20" t="inlineStr">
        <is>
          <t>Parcial</t>
        </is>
      </c>
    </row>
    <row r="1154">
      <c r="A1154" s="20" t="n">
        <v>117</v>
      </c>
      <c r="B1154" s="20" t="inlineStr">
        <is>
          <t>Agencia de Investigación e Innovación de Castilla-La Mancha (OA)</t>
        </is>
      </c>
      <c r="C1154" s="20" t="inlineStr">
        <is>
          <t>Clasificación: motivo</t>
        </is>
      </c>
      <c r="D1154" s="20" t="inlineStr">
        <is>
          <t>CB</t>
        </is>
      </c>
      <c r="E1154" s="20" t="n"/>
      <c r="F1154" s="20" t="inlineStr">
        <is>
          <t>Agencia autonómica que financia I+D+i; la AEI y el CDTI ya financian en todo el territorio.</t>
        </is>
      </c>
    </row>
    <row r="1155">
      <c r="A1155" s="20" t="n">
        <v>117</v>
      </c>
      <c r="B1155" s="20" t="inlineStr">
        <is>
          <t>Agencia de Investigación e Innovación de Castilla-La Mancha (OA)</t>
        </is>
      </c>
      <c r="C1155" s="20" t="inlineStr">
        <is>
          <t>Clasificación: base en el P100</t>
        </is>
      </c>
      <c r="D1155" s="20" t="inlineStr">
        <is>
          <t>CC</t>
        </is>
      </c>
      <c r="E1155" s="20" t="n"/>
      <c r="F1155" s="20" t="inlineStr">
        <is>
          <t>Aplicando el criterio del P100: Criterio Extramuros del 12/10/2026</t>
        </is>
      </c>
    </row>
    <row r="1156">
      <c r="A1156" s="20" t="n">
        <v>117</v>
      </c>
      <c r="B1156" s="20" t="inlineStr">
        <is>
          <t>Agencia de Investigación e Innovación de Castilla-La Mancha (OA)</t>
        </is>
      </c>
      <c r="C1156" s="20" t="inlineStr">
        <is>
          <t>Clasificación: destino de sus funciones</t>
        </is>
      </c>
      <c r="D1156" s="20" t="inlineStr">
        <is>
          <t>CD</t>
        </is>
      </c>
      <c r="E1156" s="20" t="n"/>
      <c r="F1156" s="20" t="inlineStr">
        <is>
          <t>Agencia Estatal de Investigación (AEI) y Centro para el Desarrollo Tecnológico y la Innovación (CDTI, E.P.E.); la consejería autonómica para fondos propios</t>
        </is>
      </c>
    </row>
    <row r="1157">
      <c r="A1157" s="20" t="n">
        <v>117</v>
      </c>
      <c r="B1157" s="20" t="inlineStr">
        <is>
          <t>Agencia de Investigación e Innovación de Castilla-La Mancha (OA)</t>
        </is>
      </c>
      <c r="C1157" s="20" t="inlineStr">
        <is>
          <t>Tema funcional</t>
        </is>
      </c>
      <c r="D1157" s="20" t="inlineStr">
        <is>
          <t>CE</t>
        </is>
      </c>
      <c r="E1157" s="20" t="n"/>
      <c r="F1157" s="20" t="inlineStr">
        <is>
          <t>Agencias de investigación e innovación</t>
        </is>
      </c>
    </row>
    <row r="1158">
      <c r="A1158" s="20" t="n">
        <v>117</v>
      </c>
      <c r="B1158" s="20" t="inlineStr">
        <is>
          <t>Agencia de Investigación e Innovación de Castilla-La Mancha (OA)</t>
        </is>
      </c>
      <c r="C1158" s="20" t="inlineStr">
        <is>
          <t>Organismos del mismo tema (Estado + CCAA, verificados)</t>
        </is>
      </c>
      <c r="D1158" s="20" t="inlineStr">
        <is>
          <t>CF</t>
        </is>
      </c>
      <c r="E1158" s="20" t="n"/>
      <c r="F1158" s="20" t="n">
        <v>10</v>
      </c>
    </row>
    <row r="1159">
      <c r="A1159" s="20" t="n">
        <v>118</v>
      </c>
      <c r="B1159" s="20" t="inlineStr">
        <is>
          <t>Agencia de Transformación Digital de Castilla-La Mancha</t>
        </is>
      </c>
      <c r="C1159" s="20" t="inlineStr">
        <is>
          <t>Clasificación: útil / no útil</t>
        </is>
      </c>
      <c r="D1159" s="20" t="inlineStr">
        <is>
          <t>BV</t>
        </is>
      </c>
      <c r="E1159" s="20" t="n"/>
      <c r="F1159" s="20" t="inlineStr">
        <is>
          <t>No útil</t>
        </is>
      </c>
    </row>
    <row r="1160">
      <c r="A1160" s="20" t="n">
        <v>118</v>
      </c>
      <c r="B1160" s="20" t="inlineStr">
        <is>
          <t>Agencia de Transformación Digital de Castilla-La Mancha</t>
        </is>
      </c>
      <c r="C1160" s="20" t="inlineStr">
        <is>
          <t>Clasificación: veredicto</t>
        </is>
      </c>
      <c r="D1160" s="20" t="inlineStr">
        <is>
          <t>BW</t>
        </is>
      </c>
      <c r="E1160" s="20" t="n"/>
      <c r="F1160" s="20" t="inlineStr">
        <is>
          <t>Integrar</t>
        </is>
      </c>
    </row>
    <row r="1161">
      <c r="A1161" s="20" t="n">
        <v>118</v>
      </c>
      <c r="B1161" s="20" t="inlineStr">
        <is>
          <t>Agencia de Transformación Digital de Castilla-La Mancha</t>
        </is>
      </c>
      <c r="C1161" s="20" t="inlineStr">
        <is>
          <t>Clasificación: función</t>
        </is>
      </c>
      <c r="D1161" s="20" t="inlineStr">
        <is>
          <t>BX</t>
        </is>
      </c>
      <c r="E1161" s="20" t="n"/>
      <c r="F1161" s="20" t="inlineStr">
        <is>
          <t>Servicio público directo</t>
        </is>
      </c>
    </row>
    <row r="1162">
      <c r="A1162" s="20" t="n">
        <v>118</v>
      </c>
      <c r="B1162" s="20" t="inlineStr">
        <is>
          <t>Agencia de Transformación Digital de Castilla-La Mancha</t>
        </is>
      </c>
      <c r="C1162" s="20" t="inlineStr">
        <is>
          <t>Clasificación: duplicidad</t>
        </is>
      </c>
      <c r="D1162" s="20" t="inlineStr">
        <is>
          <t>BY</t>
        </is>
      </c>
      <c r="E1162" s="20" t="n"/>
      <c r="F1162" s="20" t="inlineStr">
        <is>
          <t>Competencia autonómica que el Estado no presta en ese territorio; la duplicidad es de forma (agencia propia o dirección general). 10 organismos sobre este tema entre el Estado y las CCAA (verificados).</t>
        </is>
      </c>
    </row>
    <row r="1163">
      <c r="A1163" s="20" t="n">
        <v>118</v>
      </c>
      <c r="B1163" s="20" t="inlineStr">
        <is>
          <t>Agencia de Transformación Digital de Castilla-La Mancha</t>
        </is>
      </c>
      <c r="C1163" s="20" t="inlineStr">
        <is>
          <t>Clasificación: exigida por la UE</t>
        </is>
      </c>
      <c r="D1163" s="20" t="inlineStr">
        <is>
          <t>BZ</t>
        </is>
      </c>
      <c r="E1163" s="20" t="n"/>
      <c r="F1163" s="20" t="inlineStr">
        <is>
          <t>No</t>
        </is>
      </c>
    </row>
    <row r="1164">
      <c r="A1164" s="20" t="n">
        <v>118</v>
      </c>
      <c r="B1164" s="20" t="inlineStr">
        <is>
          <t>Agencia de Transformación Digital de Castilla-La Mancha</t>
        </is>
      </c>
      <c r="C1164" s="20" t="inlineStr">
        <is>
          <t>Clasificación: actividad reciente</t>
        </is>
      </c>
      <c r="D1164" s="20" t="inlineStr">
        <is>
          <t>CA</t>
        </is>
      </c>
      <c r="E1164" s="20" t="n"/>
      <c r="F1164" s="20" t="inlineStr">
        <is>
          <t>Parcial</t>
        </is>
      </c>
    </row>
    <row r="1165">
      <c r="A1165" s="20" t="n">
        <v>118</v>
      </c>
      <c r="B1165" s="20" t="inlineStr">
        <is>
          <t>Agencia de Transformación Digital de Castilla-La Mancha</t>
        </is>
      </c>
      <c r="C1165" s="20" t="inlineStr">
        <is>
          <t>Clasificación: motivo</t>
        </is>
      </c>
      <c r="D1165" s="20" t="inlineStr">
        <is>
          <t>CB</t>
        </is>
      </c>
      <c r="E1165" s="20" t="n"/>
      <c r="F1165" s="20" t="inlineStr">
        <is>
          <t>Agencia digital autonómica: el P100 hace una sola web y una sola aplicación para todo el Estado, a la que se suman las comunidades.</t>
        </is>
      </c>
    </row>
    <row r="1166">
      <c r="A1166" s="20" t="n">
        <v>118</v>
      </c>
      <c r="B1166" s="20" t="inlineStr">
        <is>
          <t>Agencia de Transformación Digital de Castilla-La Mancha</t>
        </is>
      </c>
      <c r="C1166" s="20" t="inlineStr">
        <is>
          <t>Clasificación: base en el P100</t>
        </is>
      </c>
      <c r="D1166" s="20" t="inlineStr">
        <is>
          <t>CC</t>
        </is>
      </c>
      <c r="E1166" s="20" t="n"/>
      <c r="F1166" s="20" t="inlineStr">
        <is>
          <t>Explícito en el P100: Organización del Estado 17 y criterio Extramuros del 12/10/2026 («con una nacional basta»)</t>
        </is>
      </c>
    </row>
    <row r="1167">
      <c r="A1167" s="20" t="n">
        <v>118</v>
      </c>
      <c r="B1167" s="20" t="inlineStr">
        <is>
          <t>Agencia de Transformación Digital de Castilla-La Mancha</t>
        </is>
      </c>
      <c r="C1167" s="20" t="inlineStr">
        <is>
          <t>Clasificación: destino de sus funciones</t>
        </is>
      </c>
      <c r="D1167" s="20" t="inlineStr">
        <is>
          <t>CD</t>
        </is>
      </c>
      <c r="E1167" s="20" t="n"/>
      <c r="F1167" s="20" t="inlineStr">
        <is>
          <t>Agencia Estatal de Administración Digital (AEAD) y web única del Estado</t>
        </is>
      </c>
    </row>
    <row r="1168">
      <c r="A1168" s="20" t="n">
        <v>118</v>
      </c>
      <c r="B1168" s="20" t="inlineStr">
        <is>
          <t>Agencia de Transformación Digital de Castilla-La Mancha</t>
        </is>
      </c>
      <c r="C1168" s="20" t="inlineStr">
        <is>
          <t>Tema funcional</t>
        </is>
      </c>
      <c r="D1168" s="20" t="inlineStr">
        <is>
          <t>CE</t>
        </is>
      </c>
      <c r="E1168" s="20" t="n"/>
      <c r="F1168" s="20" t="inlineStr">
        <is>
          <t>Agencias de administración digital y TIC</t>
        </is>
      </c>
    </row>
    <row r="1169">
      <c r="A1169" s="20" t="n">
        <v>118</v>
      </c>
      <c r="B1169" s="20" t="inlineStr">
        <is>
          <t>Agencia de Transformación Digital de Castilla-La Mancha</t>
        </is>
      </c>
      <c r="C1169" s="20" t="inlineStr">
        <is>
          <t>Organismos del mismo tema (Estado + CCAA, verificados)</t>
        </is>
      </c>
      <c r="D1169" s="20" t="inlineStr">
        <is>
          <t>CF</t>
        </is>
      </c>
      <c r="E1169" s="20" t="n"/>
      <c r="F1169" s="20" t="n">
        <v>10</v>
      </c>
    </row>
    <row r="1170">
      <c r="A1170" s="20" t="n">
        <v>119</v>
      </c>
      <c r="B1170" s="20" t="inlineStr">
        <is>
          <t>Agencia Riojana de Transición Energética y Cambio Climático (ARTE)</t>
        </is>
      </c>
      <c r="C1170" s="20" t="inlineStr">
        <is>
          <t>Clasificación: útil / no útil</t>
        </is>
      </c>
      <c r="D1170" s="20" t="inlineStr">
        <is>
          <t>BV</t>
        </is>
      </c>
      <c r="E1170" s="20" t="n"/>
      <c r="F1170" s="20" t="inlineStr">
        <is>
          <t>Extinguida</t>
        </is>
      </c>
    </row>
    <row r="1171">
      <c r="A1171" s="20" t="n">
        <v>119</v>
      </c>
      <c r="B1171" s="20" t="inlineStr">
        <is>
          <t>Agencia Riojana de Transición Energética y Cambio Climático (ARTE)</t>
        </is>
      </c>
      <c r="C1171" s="20" t="inlineStr">
        <is>
          <t>Clasificación: veredicto</t>
        </is>
      </c>
      <c r="D1171" s="20" t="inlineStr">
        <is>
          <t>BW</t>
        </is>
      </c>
      <c r="E1171" s="20" t="n"/>
      <c r="F1171" s="20" t="inlineStr">
        <is>
          <t>Extinguida</t>
        </is>
      </c>
    </row>
    <row r="1172">
      <c r="A1172" s="20" t="n">
        <v>119</v>
      </c>
      <c r="B1172" s="20" t="inlineStr">
        <is>
          <t>Agencia Riojana de Transición Energética y Cambio Climático (ARTE)</t>
        </is>
      </c>
      <c r="C1172" s="20" t="inlineStr">
        <is>
          <t>Clasificación: función</t>
        </is>
      </c>
      <c r="D1172" s="20" t="inlineStr">
        <is>
          <t>BX</t>
        </is>
      </c>
      <c r="E1172" s="20" t="n"/>
      <c r="F1172" s="20" t="inlineStr">
        <is>
          <t>Extinguida o no constituida</t>
        </is>
      </c>
    </row>
    <row r="1173">
      <c r="A1173" s="20" t="n">
        <v>119</v>
      </c>
      <c r="B1173" s="20" t="inlineStr">
        <is>
          <t>Agencia Riojana de Transición Energética y Cambio Climático (ARTE)</t>
        </is>
      </c>
      <c r="C1173" s="20" t="inlineStr">
        <is>
          <t>Clasificación: duplicidad</t>
        </is>
      </c>
      <c r="D1173" s="20" t="inlineStr">
        <is>
          <t>BY</t>
        </is>
      </c>
      <c r="E1173" s="20" t="n"/>
      <c r="F1173" s="20" t="inlineStr">
        <is>
          <t>11 organismos sobre este tema entre el Estado y las CCAA (verificados)</t>
        </is>
      </c>
    </row>
    <row r="1174">
      <c r="A1174" s="20" t="n">
        <v>119</v>
      </c>
      <c r="B1174" s="20" t="inlineStr">
        <is>
          <t>Agencia Riojana de Transición Energética y Cambio Climático (ARTE)</t>
        </is>
      </c>
      <c r="C1174" s="20" t="inlineStr">
        <is>
          <t>Clasificación: exigida por la UE</t>
        </is>
      </c>
      <c r="D1174" s="20" t="inlineStr">
        <is>
          <t>BZ</t>
        </is>
      </c>
      <c r="E1174" s="20" t="n"/>
      <c r="F1174" s="20" t="inlineStr">
        <is>
          <t>No</t>
        </is>
      </c>
    </row>
    <row r="1175">
      <c r="A1175" s="20" t="n">
        <v>119</v>
      </c>
      <c r="B1175" s="20" t="inlineStr">
        <is>
          <t>Agencia Riojana de Transición Energética y Cambio Climático (ARTE)</t>
        </is>
      </c>
      <c r="C1175" s="20" t="inlineStr">
        <is>
          <t>Clasificación: actividad reciente</t>
        </is>
      </c>
      <c r="D1175" s="20" t="inlineStr">
        <is>
          <t>CA</t>
        </is>
      </c>
      <c r="E1175" s="20" t="n"/>
      <c r="F1175" s="20" t="inlineStr">
        <is>
          <t>No aplica (no vigente)</t>
        </is>
      </c>
    </row>
    <row r="1176">
      <c r="A1176" s="20" t="n">
        <v>119</v>
      </c>
      <c r="B1176" s="20" t="inlineStr">
        <is>
          <t>Agencia Riojana de Transición Energética y Cambio Climático (ARTE)</t>
        </is>
      </c>
      <c r="C1176" s="20" t="inlineStr">
        <is>
          <t>Clasificación: motivo</t>
        </is>
      </c>
      <c r="D1176" s="20" t="inlineStr">
        <is>
          <t>CB</t>
        </is>
      </c>
      <c r="E1176" s="20" t="n"/>
      <c r="F1176" s="20" t="inlineStr">
        <is>
          <t>Norma creadora derogada con efectos 1/01/2024.</t>
        </is>
      </c>
    </row>
    <row r="1177">
      <c r="A1177" s="20" t="n">
        <v>119</v>
      </c>
      <c r="B1177" s="20" t="inlineStr">
        <is>
          <t>Agencia Riojana de Transición Energética y Cambio Climático (ARTE)</t>
        </is>
      </c>
      <c r="C1177" s="20" t="inlineStr">
        <is>
          <t>Tema funcional</t>
        </is>
      </c>
      <c r="D1177" s="20" t="inlineStr">
        <is>
          <t>CE</t>
        </is>
      </c>
      <c r="E1177" s="20" t="n"/>
      <c r="F1177" s="20" t="inlineStr">
        <is>
          <t>Agencias de la energía</t>
        </is>
      </c>
    </row>
    <row r="1178">
      <c r="A1178" s="20" t="n">
        <v>119</v>
      </c>
      <c r="B1178" s="20" t="inlineStr">
        <is>
          <t>Agencia Riojana de Transición Energética y Cambio Climático (ARTE)</t>
        </is>
      </c>
      <c r="C1178" s="20" t="inlineStr">
        <is>
          <t>Organismos del mismo tema (Estado + CCAA, verificados)</t>
        </is>
      </c>
      <c r="D1178" s="20" t="inlineStr">
        <is>
          <t>CF</t>
        </is>
      </c>
      <c r="E1178" s="20" t="n"/>
      <c r="F1178" s="20" t="n">
        <v>11</v>
      </c>
    </row>
    <row r="1179">
      <c r="A1179" s="20" t="n">
        <v>120</v>
      </c>
      <c r="B1179" s="20" t="inlineStr">
        <is>
          <t>Agencia Digital de la Región de Murcia</t>
        </is>
      </c>
      <c r="C1179" s="20" t="inlineStr">
        <is>
          <t>Clasificación: útil / no útil</t>
        </is>
      </c>
      <c r="D1179" s="20" t="inlineStr">
        <is>
          <t>BV</t>
        </is>
      </c>
      <c r="E1179" s="20" t="n"/>
      <c r="F1179" s="20" t="inlineStr">
        <is>
          <t>No útil</t>
        </is>
      </c>
    </row>
    <row r="1180">
      <c r="A1180" s="20" t="n">
        <v>120</v>
      </c>
      <c r="B1180" s="20" t="inlineStr">
        <is>
          <t>Agencia Digital de la Región de Murcia</t>
        </is>
      </c>
      <c r="C1180" s="20" t="inlineStr">
        <is>
          <t>Clasificación: veredicto</t>
        </is>
      </c>
      <c r="D1180" s="20" t="inlineStr">
        <is>
          <t>BW</t>
        </is>
      </c>
      <c r="E1180" s="20" t="n"/>
      <c r="F1180" s="20" t="inlineStr">
        <is>
          <t>Integrar</t>
        </is>
      </c>
    </row>
    <row r="1181">
      <c r="A1181" s="20" t="n">
        <v>120</v>
      </c>
      <c r="B1181" s="20" t="inlineStr">
        <is>
          <t>Agencia Digital de la Región de Murcia</t>
        </is>
      </c>
      <c r="C1181" s="20" t="inlineStr">
        <is>
          <t>Clasificación: función</t>
        </is>
      </c>
      <c r="D1181" s="20" t="inlineStr">
        <is>
          <t>BX</t>
        </is>
      </c>
      <c r="E1181" s="20" t="n"/>
      <c r="F1181" s="20" t="inlineStr">
        <is>
          <t>Servicio público directo</t>
        </is>
      </c>
    </row>
    <row r="1182">
      <c r="A1182" s="20" t="n">
        <v>120</v>
      </c>
      <c r="B1182" s="20" t="inlineStr">
        <is>
          <t>Agencia Digital de la Región de Murcia</t>
        </is>
      </c>
      <c r="C1182" s="20" t="inlineStr">
        <is>
          <t>Clasificación: duplicidad</t>
        </is>
      </c>
      <c r="D1182" s="20" t="inlineStr">
        <is>
          <t>BY</t>
        </is>
      </c>
      <c r="E1182" s="20" t="n"/>
      <c r="F1182" s="20" t="inlineStr">
        <is>
          <t>Competencia autonómica que el Estado no presta en ese territorio; la duplicidad es de forma (agencia propia o dirección general). 10 organismos sobre este tema entre el Estado y las CCAA (verificados).</t>
        </is>
      </c>
    </row>
    <row r="1183">
      <c r="A1183" s="20" t="n">
        <v>120</v>
      </c>
      <c r="B1183" s="20" t="inlineStr">
        <is>
          <t>Agencia Digital de la Región de Murcia</t>
        </is>
      </c>
      <c r="C1183" s="20" t="inlineStr">
        <is>
          <t>Clasificación: exigida por la UE</t>
        </is>
      </c>
      <c r="D1183" s="20" t="inlineStr">
        <is>
          <t>BZ</t>
        </is>
      </c>
      <c r="E1183" s="20" t="n"/>
      <c r="F1183" s="20" t="inlineStr">
        <is>
          <t>No</t>
        </is>
      </c>
    </row>
    <row r="1184">
      <c r="A1184" s="20" t="n">
        <v>120</v>
      </c>
      <c r="B1184" s="20" t="inlineStr">
        <is>
          <t>Agencia Digital de la Región de Murcia</t>
        </is>
      </c>
      <c r="C1184" s="20" t="inlineStr">
        <is>
          <t>Clasificación: actividad reciente</t>
        </is>
      </c>
      <c r="D1184" s="20" t="inlineStr">
        <is>
          <t>CA</t>
        </is>
      </c>
      <c r="E1184" s="20" t="n"/>
      <c r="F1184" s="20" t="inlineStr">
        <is>
          <t>No acreditada</t>
        </is>
      </c>
    </row>
    <row r="1185">
      <c r="A1185" s="20" t="n">
        <v>120</v>
      </c>
      <c r="B1185" s="20" t="inlineStr">
        <is>
          <t>Agencia Digital de la Región de Murcia</t>
        </is>
      </c>
      <c r="C1185" s="20" t="inlineStr">
        <is>
          <t>Clasificación: motivo</t>
        </is>
      </c>
      <c r="D1185" s="20" t="inlineStr">
        <is>
          <t>CB</t>
        </is>
      </c>
      <c r="E1185" s="20" t="n"/>
      <c r="F1185" s="20" t="inlineStr">
        <is>
          <t>Agencia digital autonómica: el P100 hace una sola web y una sola aplicación para todo el Estado, a la que se suman las comunidades.</t>
        </is>
      </c>
    </row>
    <row r="1186">
      <c r="A1186" s="20" t="n">
        <v>120</v>
      </c>
      <c r="B1186" s="20" t="inlineStr">
        <is>
          <t>Agencia Digital de la Región de Murcia</t>
        </is>
      </c>
      <c r="C1186" s="20" t="inlineStr">
        <is>
          <t>Clasificación: base en el P100</t>
        </is>
      </c>
      <c r="D1186" s="20" t="inlineStr">
        <is>
          <t>CC</t>
        </is>
      </c>
      <c r="E1186" s="20" t="n"/>
      <c r="F1186" s="20" t="inlineStr">
        <is>
          <t>Explícito en el P100: Organización del Estado 17 y criterio Extramuros del 12/10/2026 («con una nacional basta»)</t>
        </is>
      </c>
    </row>
    <row r="1187">
      <c r="A1187" s="20" t="n">
        <v>120</v>
      </c>
      <c r="B1187" s="20" t="inlineStr">
        <is>
          <t>Agencia Digital de la Región de Murcia</t>
        </is>
      </c>
      <c r="C1187" s="20" t="inlineStr">
        <is>
          <t>Clasificación: destino de sus funciones</t>
        </is>
      </c>
      <c r="D1187" s="20" t="inlineStr">
        <is>
          <t>CD</t>
        </is>
      </c>
      <c r="E1187" s="20" t="n"/>
      <c r="F1187" s="20" t="inlineStr">
        <is>
          <t>Agencia Estatal de Administración Digital (AEAD) y web única del Estado</t>
        </is>
      </c>
    </row>
    <row r="1188">
      <c r="A1188" s="20" t="n">
        <v>120</v>
      </c>
      <c r="B1188" s="20" t="inlineStr">
        <is>
          <t>Agencia Digital de la Región de Murcia</t>
        </is>
      </c>
      <c r="C1188" s="20" t="inlineStr">
        <is>
          <t>Tema funcional</t>
        </is>
      </c>
      <c r="D1188" s="20" t="inlineStr">
        <is>
          <t>CE</t>
        </is>
      </c>
      <c r="E1188" s="20" t="n"/>
      <c r="F1188" s="20" t="inlineStr">
        <is>
          <t>Agencias de administración digital y TIC</t>
        </is>
      </c>
    </row>
    <row r="1189">
      <c r="A1189" s="20" t="n">
        <v>120</v>
      </c>
      <c r="B1189" s="20" t="inlineStr">
        <is>
          <t>Agencia Digital de la Región de Murcia</t>
        </is>
      </c>
      <c r="C1189" s="20" t="inlineStr">
        <is>
          <t>Organismos del mismo tema (Estado + CCAA, verificados)</t>
        </is>
      </c>
      <c r="D1189" s="20" t="inlineStr">
        <is>
          <t>CF</t>
        </is>
      </c>
      <c r="E1189" s="20" t="n"/>
      <c r="F1189" s="20" t="n">
        <v>10</v>
      </c>
    </row>
    <row r="1190">
      <c r="A1190" s="20" t="n">
        <v>121</v>
      </c>
      <c r="B1190" s="20" t="inlineStr">
        <is>
          <t>Agencia Gallega de la Calidad Alimentaria (AGACAL)</t>
        </is>
      </c>
      <c r="C1190" s="20" t="inlineStr">
        <is>
          <t>Clasificación: útil / no útil</t>
        </is>
      </c>
      <c r="D1190" s="20" t="inlineStr">
        <is>
          <t>BV</t>
        </is>
      </c>
      <c r="E1190" s="20" t="n"/>
      <c r="F1190" s="20" t="inlineStr">
        <is>
          <t>Útil</t>
        </is>
      </c>
    </row>
    <row r="1191">
      <c r="A1191" s="20" t="n">
        <v>121</v>
      </c>
      <c r="B1191" s="20" t="inlineStr">
        <is>
          <t>Agencia Gallega de la Calidad Alimentaria (AGACAL)</t>
        </is>
      </c>
      <c r="C1191" s="20" t="inlineStr">
        <is>
          <t>Clasificación: veredicto</t>
        </is>
      </c>
      <c r="D1191" s="20" t="inlineStr">
        <is>
          <t>BW</t>
        </is>
      </c>
      <c r="E1191" s="20" t="n"/>
      <c r="F1191" s="20" t="inlineStr">
        <is>
          <t>Mantener</t>
        </is>
      </c>
    </row>
    <row r="1192">
      <c r="A1192" s="20" t="n">
        <v>121</v>
      </c>
      <c r="B1192" s="20" t="inlineStr">
        <is>
          <t>Agencia Gallega de la Calidad Alimentaria (AGACAL)</t>
        </is>
      </c>
      <c r="C1192" s="20" t="inlineStr">
        <is>
          <t>Clasificación: función</t>
        </is>
      </c>
      <c r="D1192" s="20" t="inlineStr">
        <is>
          <t>BX</t>
        </is>
      </c>
      <c r="E1192" s="20" t="n"/>
      <c r="F1192" s="20" t="inlineStr">
        <is>
          <t>Regulación o inspección de terceros</t>
        </is>
      </c>
    </row>
    <row r="1193">
      <c r="A1193" s="20" t="n">
        <v>121</v>
      </c>
      <c r="B1193" s="20" t="inlineStr">
        <is>
          <t>Agencia Gallega de la Calidad Alimentaria (AGACAL)</t>
        </is>
      </c>
      <c r="C1193" s="20" t="inlineStr">
        <is>
          <t>Clasificación: exigida por la UE</t>
        </is>
      </c>
      <c r="D1193" s="20" t="inlineStr">
        <is>
          <t>BZ</t>
        </is>
      </c>
      <c r="E1193" s="20" t="n"/>
      <c r="F1193" s="20" t="inlineStr">
        <is>
          <t>No</t>
        </is>
      </c>
    </row>
    <row r="1194">
      <c r="A1194" s="20" t="n">
        <v>121</v>
      </c>
      <c r="B1194" s="20" t="inlineStr">
        <is>
          <t>Agencia Gallega de la Calidad Alimentaria (AGACAL)</t>
        </is>
      </c>
      <c r="C1194" s="20" t="inlineStr">
        <is>
          <t>Clasificación: actividad reciente</t>
        </is>
      </c>
      <c r="D1194" s="20" t="inlineStr">
        <is>
          <t>CA</t>
        </is>
      </c>
      <c r="E1194" s="20" t="n"/>
      <c r="F1194" s="20" t="inlineStr">
        <is>
          <t>Parcial</t>
        </is>
      </c>
    </row>
    <row r="1195">
      <c r="A1195" s="20" t="n">
        <v>121</v>
      </c>
      <c r="B1195" s="20" t="inlineStr">
        <is>
          <t>Agencia Gallega de la Calidad Alimentaria (AGACAL)</t>
        </is>
      </c>
      <c r="C1195" s="20" t="inlineStr">
        <is>
          <t>Clasificación: motivo</t>
        </is>
      </c>
      <c r="D1195" s="20" t="inlineStr">
        <is>
          <t>CB</t>
        </is>
      </c>
      <c r="E1195" s="20" t="n"/>
      <c r="F1195" s="20" t="inlineStr">
        <is>
          <t>Controla la calidad alimentaria y las denominaciones de origen gallegas, en línea con la soberanía alimentaria del P100.</t>
        </is>
      </c>
    </row>
    <row r="1196">
      <c r="A1196" s="20" t="n">
        <v>121</v>
      </c>
      <c r="B1196" s="20" t="inlineStr">
        <is>
          <t>Agencia Gallega de la Calidad Alimentaria (AGACAL)</t>
        </is>
      </c>
      <c r="C1196" s="20" t="inlineStr">
        <is>
          <t>Clasificación: base en el P100</t>
        </is>
      </c>
      <c r="D1196" s="20" t="inlineStr">
        <is>
          <t>CC</t>
        </is>
      </c>
      <c r="E1196" s="20" t="n"/>
      <c r="F1196" s="20" t="inlineStr">
        <is>
          <t>Aplicando el criterio del P100: Función técnica</t>
        </is>
      </c>
    </row>
    <row r="1197">
      <c r="A1197" s="20" t="n">
        <v>121</v>
      </c>
      <c r="B1197" s="20" t="inlineStr">
        <is>
          <t>Agencia Gallega de la Calidad Alimentaria (AGACAL)</t>
        </is>
      </c>
      <c r="C1197" s="20" t="inlineStr">
        <is>
          <t>Tema funcional</t>
        </is>
      </c>
      <c r="D1197" s="20" t="inlineStr">
        <is>
          <t>CE</t>
        </is>
      </c>
      <c r="E1197" s="20" t="n"/>
      <c r="F1197" s="20" t="inlineStr">
        <is>
          <t>Calidad alimentaria</t>
        </is>
      </c>
    </row>
    <row r="1198">
      <c r="A1198" s="20" t="n">
        <v>122</v>
      </c>
      <c r="B1198" s="20" t="inlineStr">
        <is>
          <t>Agencia Extremeña de la Energía (AGENEX), entidad pública empresarial</t>
        </is>
      </c>
      <c r="C1198" s="20" t="inlineStr">
        <is>
          <t>Clasificación: útil / no útil</t>
        </is>
      </c>
      <c r="D1198" s="20" t="inlineStr">
        <is>
          <t>BV</t>
        </is>
      </c>
      <c r="E1198" s="20" t="n"/>
      <c r="F1198" s="20" t="inlineStr">
        <is>
          <t>No útil</t>
        </is>
      </c>
    </row>
    <row r="1199">
      <c r="A1199" s="20" t="n">
        <v>122</v>
      </c>
      <c r="B1199" s="20" t="inlineStr">
        <is>
          <t>Agencia Extremeña de la Energía (AGENEX), entidad pública empresarial</t>
        </is>
      </c>
      <c r="C1199" s="20" t="inlineStr">
        <is>
          <t>Clasificación: veredicto</t>
        </is>
      </c>
      <c r="D1199" s="20" t="inlineStr">
        <is>
          <t>BW</t>
        </is>
      </c>
      <c r="E1199" s="20" t="n"/>
      <c r="F1199" s="20" t="inlineStr">
        <is>
          <t>Integrar</t>
        </is>
      </c>
    </row>
    <row r="1200">
      <c r="A1200" s="20" t="n">
        <v>122</v>
      </c>
      <c r="B1200" s="20" t="inlineStr">
        <is>
          <t>Agencia Extremeña de la Energía (AGENEX), entidad pública empresarial</t>
        </is>
      </c>
      <c r="C1200" s="20" t="inlineStr">
        <is>
          <t>Clasificación: función</t>
        </is>
      </c>
      <c r="D1200" s="20" t="inlineStr">
        <is>
          <t>BX</t>
        </is>
      </c>
      <c r="E1200" s="20" t="n"/>
      <c r="F1200" s="20" t="inlineStr">
        <is>
          <t>Financiación y ayudas</t>
        </is>
      </c>
    </row>
    <row r="1201">
      <c r="A1201" s="20" t="n">
        <v>122</v>
      </c>
      <c r="B1201" s="20" t="inlineStr">
        <is>
          <t>Agencia Extremeña de la Energía (AGENEX), entidad pública empresarial</t>
        </is>
      </c>
      <c r="C1201" s="20" t="inlineStr">
        <is>
          <t>Clasificación: duplicidad</t>
        </is>
      </c>
      <c r="D1201" s="20" t="inlineStr">
        <is>
          <t>BY</t>
        </is>
      </c>
      <c r="E1201" s="20" t="n"/>
      <c r="F1201" s="20" t="inlineStr">
        <is>
          <t>Paralelo a IDAE: cada nivel actúa con sus propios fondos o competencias. 11 organismos sobre este tema entre el Estado y las CCAA (verificados).</t>
        </is>
      </c>
    </row>
    <row r="1202">
      <c r="A1202" s="20" t="n">
        <v>122</v>
      </c>
      <c r="B1202" s="20" t="inlineStr">
        <is>
          <t>Agencia Extremeña de la Energía (AGENEX), entidad pública empresarial</t>
        </is>
      </c>
      <c r="C1202" s="20" t="inlineStr">
        <is>
          <t>Clasificación: exigida por la UE</t>
        </is>
      </c>
      <c r="D1202" s="20" t="inlineStr">
        <is>
          <t>BZ</t>
        </is>
      </c>
      <c r="E1202" s="20" t="n"/>
      <c r="F1202" s="20" t="inlineStr">
        <is>
          <t>No</t>
        </is>
      </c>
    </row>
    <row r="1203">
      <c r="A1203" s="20" t="n">
        <v>122</v>
      </c>
      <c r="B1203" s="20" t="inlineStr">
        <is>
          <t>Agencia Extremeña de la Energía (AGENEX), entidad pública empresarial</t>
        </is>
      </c>
      <c r="C1203" s="20" t="inlineStr">
        <is>
          <t>Clasificación: actividad reciente</t>
        </is>
      </c>
      <c r="D1203" s="20" t="inlineStr">
        <is>
          <t>CA</t>
        </is>
      </c>
      <c r="E1203" s="20" t="n"/>
      <c r="F1203" s="20" t="inlineStr">
        <is>
          <t>Parcial</t>
        </is>
      </c>
    </row>
    <row r="1204">
      <c r="A1204" s="20" t="n">
        <v>122</v>
      </c>
      <c r="B1204" s="20" t="inlineStr">
        <is>
          <t>Agencia Extremeña de la Energía (AGENEX), entidad pública empresarial</t>
        </is>
      </c>
      <c r="C1204" s="20" t="inlineStr">
        <is>
          <t>Clasificación: motivo</t>
        </is>
      </c>
      <c r="D1204" s="20" t="inlineStr">
        <is>
          <t>CB</t>
        </is>
      </c>
      <c r="E1204" s="20" t="n"/>
      <c r="F1204" s="20" t="inlineStr">
        <is>
          <t>Agencia autonómica de energía; el IDAE ya actúa en todo el territorio.</t>
        </is>
      </c>
    </row>
    <row r="1205">
      <c r="A1205" s="20" t="n">
        <v>122</v>
      </c>
      <c r="B1205" s="20" t="inlineStr">
        <is>
          <t>Agencia Extremeña de la Energía (AGENEX), entidad pública empresarial</t>
        </is>
      </c>
      <c r="C1205" s="20" t="inlineStr">
        <is>
          <t>Clasificación: base en el P100</t>
        </is>
      </c>
      <c r="D1205" s="20" t="inlineStr">
        <is>
          <t>CC</t>
        </is>
      </c>
      <c r="E1205" s="20" t="n"/>
      <c r="F1205" s="20" t="inlineStr">
        <is>
          <t>Aplicando el criterio del P100: Criterio Extramuros del 12/10/2026</t>
        </is>
      </c>
    </row>
    <row r="1206">
      <c r="A1206" s="20" t="n">
        <v>122</v>
      </c>
      <c r="B1206" s="20" t="inlineStr">
        <is>
          <t>Agencia Extremeña de la Energía (AGENEX), entidad pública empresarial</t>
        </is>
      </c>
      <c r="C1206" s="20" t="inlineStr">
        <is>
          <t>Clasificación: destino de sus funciones</t>
        </is>
      </c>
      <c r="D1206" s="20" t="inlineStr">
        <is>
          <t>CD</t>
        </is>
      </c>
      <c r="E1206" s="20" t="n"/>
      <c r="F1206" s="20" t="inlineStr">
        <is>
          <t>Instituto para la Diversificación y Ahorro de la Energía (IDAE) y la consejería</t>
        </is>
      </c>
    </row>
    <row r="1207">
      <c r="A1207" s="20" t="n">
        <v>122</v>
      </c>
      <c r="B1207" s="20" t="inlineStr">
        <is>
          <t>Agencia Extremeña de la Energía (AGENEX), entidad pública empresarial</t>
        </is>
      </c>
      <c r="C1207" s="20" t="inlineStr">
        <is>
          <t>Tema funcional</t>
        </is>
      </c>
      <c r="D1207" s="20" t="inlineStr">
        <is>
          <t>CE</t>
        </is>
      </c>
      <c r="E1207" s="20" t="n"/>
      <c r="F1207" s="20" t="inlineStr">
        <is>
          <t>Agencias de la energía</t>
        </is>
      </c>
    </row>
    <row r="1208">
      <c r="A1208" s="20" t="n">
        <v>122</v>
      </c>
      <c r="B1208" s="20" t="inlineStr">
        <is>
          <t>Agencia Extremeña de la Energía (AGENEX), entidad pública empresarial</t>
        </is>
      </c>
      <c r="C1208" s="20" t="inlineStr">
        <is>
          <t>Organismos del mismo tema (Estado + CCAA, verificados)</t>
        </is>
      </c>
      <c r="D1208" s="20" t="inlineStr">
        <is>
          <t>CF</t>
        </is>
      </c>
      <c r="E1208" s="20" t="n"/>
      <c r="F1208" s="20" t="n">
        <v>11</v>
      </c>
    </row>
    <row r="1209">
      <c r="A1209" s="20" t="n">
        <v>123</v>
      </c>
      <c r="B1209" s="20" t="inlineStr">
        <is>
          <t>Observatorio de Igualdad de Género de Cantabria</t>
        </is>
      </c>
      <c r="C1209" s="20" t="inlineStr">
        <is>
          <t>Fuentes de la ficha</t>
        </is>
      </c>
      <c r="D1209" s="20" t="inlineStr">
        <is>
          <t>Z</t>
        </is>
      </c>
      <c r="E1209" s="20" t="inlineStr">
        <is>
          <t>https://boc.cantabria.es/boces/verAnuncioAction.do?idAnuBlob=352798</t>
        </is>
      </c>
      <c r="F1209" s="20" t="inlineStr">
        <is>
          <t>https://boc.cantabria.es/boces/verAnuncioAction.do?idAnuBlob=352798
https://laadministracionaldia.inap.es/noticia.asp?id=1201913</t>
        </is>
      </c>
    </row>
    <row r="1210">
      <c r="A1210" s="20" t="n">
        <v>123</v>
      </c>
      <c r="B1210" s="20" t="inlineStr">
        <is>
          <t>Observatorio de Igualdad de Género de Cantabria</t>
        </is>
      </c>
      <c r="C1210" s="20" t="inlineStr">
        <is>
          <t>Clasificación: útil / no útil</t>
        </is>
      </c>
      <c r="D1210" s="20" t="inlineStr">
        <is>
          <t>BV</t>
        </is>
      </c>
      <c r="E1210" s="20" t="n"/>
      <c r="F1210" s="20" t="inlineStr">
        <is>
          <t>No útil</t>
        </is>
      </c>
    </row>
    <row r="1211">
      <c r="A1211" s="20" t="n">
        <v>123</v>
      </c>
      <c r="B1211" s="20" t="inlineStr">
        <is>
          <t>Observatorio de Igualdad de Género de Cantabria</t>
        </is>
      </c>
      <c r="C1211" s="20" t="inlineStr">
        <is>
          <t>Clasificación: veredicto</t>
        </is>
      </c>
      <c r="D1211" s="20" t="inlineStr">
        <is>
          <t>BW</t>
        </is>
      </c>
      <c r="E1211" s="20" t="n"/>
      <c r="F1211" s="20" t="inlineStr">
        <is>
          <t>Suprimir</t>
        </is>
      </c>
    </row>
    <row r="1212">
      <c r="A1212" s="20" t="n">
        <v>123</v>
      </c>
      <c r="B1212" s="20" t="inlineStr">
        <is>
          <t>Observatorio de Igualdad de Género de Cantabria</t>
        </is>
      </c>
      <c r="C1212" s="20" t="inlineStr">
        <is>
          <t>Clasificación: función</t>
        </is>
      </c>
      <c r="D1212" s="20" t="inlineStr">
        <is>
          <t>BX</t>
        </is>
      </c>
      <c r="E1212" s="20" t="n"/>
      <c r="F1212" s="20" t="inlineStr">
        <is>
          <t>Consultivo o participación</t>
        </is>
      </c>
    </row>
    <row r="1213">
      <c r="A1213" s="20" t="n">
        <v>123</v>
      </c>
      <c r="B1213" s="20" t="inlineStr">
        <is>
          <t>Observatorio de Igualdad de Género de Cantabria</t>
        </is>
      </c>
      <c r="C1213" s="20" t="inlineStr">
        <is>
          <t>Clasificación: duplicidad</t>
        </is>
      </c>
      <c r="D1213" s="20" t="inlineStr">
        <is>
          <t>BY</t>
        </is>
      </c>
      <c r="E1213" s="20" t="n"/>
      <c r="F1213" s="20" t="inlineStr">
        <is>
          <t>Paralelo a Observatorio Estatal de Violencia sobre la Mujer: cada nivel actúa con sus propios fondos o competencias. 11 organismos sobre este tema entre el Estado y las CCAA (verificados).</t>
        </is>
      </c>
    </row>
    <row r="1214">
      <c r="A1214" s="20" t="n">
        <v>123</v>
      </c>
      <c r="B1214" s="20" t="inlineStr">
        <is>
          <t>Observatorio de Igualdad de Género de Cantabria</t>
        </is>
      </c>
      <c r="C1214" s="20" t="inlineStr">
        <is>
          <t>Clasificación: exigida por la UE</t>
        </is>
      </c>
      <c r="D1214" s="20" t="inlineStr">
        <is>
          <t>BZ</t>
        </is>
      </c>
      <c r="E1214" s="20" t="n"/>
      <c r="F1214" s="20" t="inlineStr">
        <is>
          <t>No</t>
        </is>
      </c>
    </row>
    <row r="1215">
      <c r="A1215" s="20" t="n">
        <v>123</v>
      </c>
      <c r="B1215" s="20" t="inlineStr">
        <is>
          <t>Observatorio de Igualdad de Género de Cantabria</t>
        </is>
      </c>
      <c r="C1215" s="20" t="inlineStr">
        <is>
          <t>Clasificación: actividad reciente</t>
        </is>
      </c>
      <c r="D1215" s="20" t="inlineStr">
        <is>
          <t>CA</t>
        </is>
      </c>
      <c r="E1215" s="20" t="n"/>
      <c r="F1215" s="20" t="inlineStr">
        <is>
          <t>No acreditada</t>
        </is>
      </c>
    </row>
    <row r="1216">
      <c r="A1216" s="20" t="n">
        <v>123</v>
      </c>
      <c r="B1216" s="20" t="inlineStr">
        <is>
          <t>Observatorio de Igualdad de Género de Cantabria</t>
        </is>
      </c>
      <c r="C1216" s="20" t="inlineStr">
        <is>
          <t>Clasificación: motivo</t>
        </is>
      </c>
      <c r="D1216" s="20" t="inlineStr">
        <is>
          <t>CB</t>
        </is>
      </c>
      <c r="E1216" s="20" t="n"/>
      <c r="F1216" s="20" t="inlineStr">
        <is>
          <t>Órgano consultivo sin medios propios: su producto son informes y reuniones, que el P100 no cuenta como resultado.</t>
        </is>
      </c>
    </row>
    <row r="1217">
      <c r="A1217" s="20" t="n">
        <v>123</v>
      </c>
      <c r="B1217" s="20" t="inlineStr">
        <is>
          <t>Observatorio de Igualdad de Género de Cantabria</t>
        </is>
      </c>
      <c r="C1217" s="20" t="inlineStr">
        <is>
          <t>Clasificación: base en el P100</t>
        </is>
      </c>
      <c r="D1217" s="20" t="inlineStr">
        <is>
          <t>CC</t>
        </is>
      </c>
      <c r="E1217" s="20" t="n"/>
      <c r="F1217" s="20" t="inlineStr">
        <is>
          <t>Aplicando el criterio del P100: Costes del Estado 2 (aplicado a las CCAA)</t>
        </is>
      </c>
    </row>
    <row r="1218">
      <c r="A1218" s="20" t="n">
        <v>123</v>
      </c>
      <c r="B1218" s="20" t="inlineStr">
        <is>
          <t>Observatorio de Igualdad de Género de Cantabria</t>
        </is>
      </c>
      <c r="C1218" s="20" t="inlineStr">
        <is>
          <t>Clasificación: destino de sus funciones</t>
        </is>
      </c>
      <c r="D1218" s="20" t="inlineStr">
        <is>
          <t>CD</t>
        </is>
      </c>
      <c r="E1218" s="20" t="n"/>
      <c r="F1218" s="20" t="inlineStr">
        <is>
          <t>Consejería autonómica competente</t>
        </is>
      </c>
    </row>
    <row r="1219">
      <c r="A1219" s="20" t="n">
        <v>123</v>
      </c>
      <c r="B1219" s="20" t="inlineStr">
        <is>
          <t>Observatorio de Igualdad de Género de Cantabria</t>
        </is>
      </c>
      <c r="C1219" s="20" t="inlineStr">
        <is>
          <t>Tema funcional</t>
        </is>
      </c>
      <c r="D1219" s="20" t="inlineStr">
        <is>
          <t>CE</t>
        </is>
      </c>
      <c r="E1219" s="20" t="n"/>
      <c r="F1219" s="20" t="inlineStr">
        <is>
          <t>Observatorios de igualdad y violencia de género</t>
        </is>
      </c>
    </row>
    <row r="1220">
      <c r="A1220" s="20" t="n">
        <v>123</v>
      </c>
      <c r="B1220" s="20" t="inlineStr">
        <is>
          <t>Observatorio de Igualdad de Género de Cantabria</t>
        </is>
      </c>
      <c r="C1220" s="20" t="inlineStr">
        <is>
          <t>Organismos del mismo tema (Estado + CCAA, verificados)</t>
        </is>
      </c>
      <c r="D1220" s="20" t="inlineStr">
        <is>
          <t>CF</t>
        </is>
      </c>
      <c r="E1220" s="20" t="n"/>
      <c r="F1220" s="20" t="n">
        <v>11</v>
      </c>
    </row>
    <row r="1221">
      <c r="A1221" s="20" t="n">
        <v>123</v>
      </c>
      <c r="B1221" s="20" t="inlineStr">
        <is>
          <t>Observatorio de Igualdad de Género de Cantabria</t>
        </is>
      </c>
      <c r="C1221" s="20" t="inlineStr">
        <is>
          <t>Coste de apoyo (sin presupuesto propio): unidad, vocales y dietas</t>
        </is>
      </c>
      <c r="D1221" s="20" t="inlineStr">
        <is>
          <t>CG</t>
        </is>
      </c>
      <c r="E1221" s="20" t="n"/>
      <c r="F1221" s="20" t="inlineStr">
        <is>
          <t>Apoyo: La DG competente en igualdad y mujer presta el apoyo administrativo y material (art. 10 Decreto 53/2020); secretaría a cargo de un funcionario designado por esa DG. vocales: 20. miembros: no retribuidos (art. 8.6 Decreto 53/2020: la asistencia «no genera ningún derecho económico en concepto de remuneración o indemnización»).</t>
        </is>
      </c>
    </row>
    <row r="1222">
      <c r="A1222" s="20" t="n">
        <v>124</v>
      </c>
      <c r="B1222" s="20" t="inlineStr">
        <is>
          <t>Agencia Balear de Digitalización, Ciberseguridad y Telecomunicaciones (ABDigital)</t>
        </is>
      </c>
      <c r="C1222" s="20" t="inlineStr">
        <is>
          <t>Clasificación: útil / no útil</t>
        </is>
      </c>
      <c r="D1222" s="20" t="inlineStr">
        <is>
          <t>BV</t>
        </is>
      </c>
      <c r="E1222" s="20" t="n"/>
      <c r="F1222" s="20" t="inlineStr">
        <is>
          <t>No útil</t>
        </is>
      </c>
    </row>
    <row r="1223">
      <c r="A1223" s="20" t="n">
        <v>124</v>
      </c>
      <c r="B1223" s="20" t="inlineStr">
        <is>
          <t>Agencia Balear de Digitalización, Ciberseguridad y Telecomunicaciones (ABDigital)</t>
        </is>
      </c>
      <c r="C1223" s="20" t="inlineStr">
        <is>
          <t>Clasificación: veredicto</t>
        </is>
      </c>
      <c r="D1223" s="20" t="inlineStr">
        <is>
          <t>BW</t>
        </is>
      </c>
      <c r="E1223" s="20" t="n"/>
      <c r="F1223" s="20" t="inlineStr">
        <is>
          <t>Integrar</t>
        </is>
      </c>
    </row>
    <row r="1224">
      <c r="A1224" s="20" t="n">
        <v>124</v>
      </c>
      <c r="B1224" s="20" t="inlineStr">
        <is>
          <t>Agencia Balear de Digitalización, Ciberseguridad y Telecomunicaciones (ABDigital)</t>
        </is>
      </c>
      <c r="C1224" s="20" t="inlineStr">
        <is>
          <t>Clasificación: función</t>
        </is>
      </c>
      <c r="D1224" s="20" t="inlineStr">
        <is>
          <t>BX</t>
        </is>
      </c>
      <c r="E1224" s="20" t="n"/>
      <c r="F1224" s="20" t="inlineStr">
        <is>
          <t>Servicio público directo</t>
        </is>
      </c>
    </row>
    <row r="1225">
      <c r="A1225" s="20" t="n">
        <v>124</v>
      </c>
      <c r="B1225" s="20" t="inlineStr">
        <is>
          <t>Agencia Balear de Digitalización, Ciberseguridad y Telecomunicaciones (ABDigital)</t>
        </is>
      </c>
      <c r="C1225" s="20" t="inlineStr">
        <is>
          <t>Clasificación: duplicidad</t>
        </is>
      </c>
      <c r="D1225" s="20" t="inlineStr">
        <is>
          <t>BY</t>
        </is>
      </c>
      <c r="E1225" s="20" t="n"/>
      <c r="F1225" s="20" t="inlineStr">
        <is>
          <t>Competencia autonómica que el Estado no presta en ese territorio; la duplicidad es de forma (agencia propia o dirección general). 10 organismos sobre este tema entre el Estado y las CCAA (verificados).</t>
        </is>
      </c>
    </row>
    <row r="1226">
      <c r="A1226" s="20" t="n">
        <v>124</v>
      </c>
      <c r="B1226" s="20" t="inlineStr">
        <is>
          <t>Agencia Balear de Digitalización, Ciberseguridad y Telecomunicaciones (ABDigital)</t>
        </is>
      </c>
      <c r="C1226" s="20" t="inlineStr">
        <is>
          <t>Clasificación: exigida por la UE</t>
        </is>
      </c>
      <c r="D1226" s="20" t="inlineStr">
        <is>
          <t>BZ</t>
        </is>
      </c>
      <c r="E1226" s="20" t="n"/>
      <c r="F1226" s="20" t="inlineStr">
        <is>
          <t>No</t>
        </is>
      </c>
    </row>
    <row r="1227">
      <c r="A1227" s="20" t="n">
        <v>124</v>
      </c>
      <c r="B1227" s="20" t="inlineStr">
        <is>
          <t>Agencia Balear de Digitalización, Ciberseguridad y Telecomunicaciones (ABDigital)</t>
        </is>
      </c>
      <c r="C1227" s="20" t="inlineStr">
        <is>
          <t>Clasificación: actividad reciente</t>
        </is>
      </c>
      <c r="D1227" s="20" t="inlineStr">
        <is>
          <t>CA</t>
        </is>
      </c>
      <c r="E1227" s="20" t="n"/>
      <c r="F1227" s="20" t="inlineStr">
        <is>
          <t>Parcial</t>
        </is>
      </c>
    </row>
    <row r="1228">
      <c r="A1228" s="20" t="n">
        <v>124</v>
      </c>
      <c r="B1228" s="20" t="inlineStr">
        <is>
          <t>Agencia Balear de Digitalización, Ciberseguridad y Telecomunicaciones (ABDigital)</t>
        </is>
      </c>
      <c r="C1228" s="20" t="inlineStr">
        <is>
          <t>Clasificación: motivo</t>
        </is>
      </c>
      <c r="D1228" s="20" t="inlineStr">
        <is>
          <t>CB</t>
        </is>
      </c>
      <c r="E1228" s="20" t="n"/>
      <c r="F1228" s="20" t="inlineStr">
        <is>
          <t>Agencia digital autonómica: el P100 hace una sola web y una sola aplicación para todo el Estado, a la que se suman las comunidades.</t>
        </is>
      </c>
    </row>
    <row r="1229">
      <c r="A1229" s="20" t="n">
        <v>124</v>
      </c>
      <c r="B1229" s="20" t="inlineStr">
        <is>
          <t>Agencia Balear de Digitalización, Ciberseguridad y Telecomunicaciones (ABDigital)</t>
        </is>
      </c>
      <c r="C1229" s="20" t="inlineStr">
        <is>
          <t>Clasificación: base en el P100</t>
        </is>
      </c>
      <c r="D1229" s="20" t="inlineStr">
        <is>
          <t>CC</t>
        </is>
      </c>
      <c r="E1229" s="20" t="n"/>
      <c r="F1229" s="20" t="inlineStr">
        <is>
          <t>Explícito en el P100: Organización del Estado 17 y criterio Extramuros del 12/10/2026 («con una nacional basta»)</t>
        </is>
      </c>
    </row>
    <row r="1230">
      <c r="A1230" s="20" t="n">
        <v>124</v>
      </c>
      <c r="B1230" s="20" t="inlineStr">
        <is>
          <t>Agencia Balear de Digitalización, Ciberseguridad y Telecomunicaciones (ABDigital)</t>
        </is>
      </c>
      <c r="C1230" s="20" t="inlineStr">
        <is>
          <t>Clasificación: destino de sus funciones</t>
        </is>
      </c>
      <c r="D1230" s="20" t="inlineStr">
        <is>
          <t>CD</t>
        </is>
      </c>
      <c r="E1230" s="20" t="n"/>
      <c r="F1230" s="20" t="inlineStr">
        <is>
          <t>Agencia Estatal de Administración Digital (AEAD) y web única del Estado</t>
        </is>
      </c>
    </row>
    <row r="1231">
      <c r="A1231" s="20" t="n">
        <v>124</v>
      </c>
      <c r="B1231" s="20" t="inlineStr">
        <is>
          <t>Agencia Balear de Digitalización, Ciberseguridad y Telecomunicaciones (ABDigital)</t>
        </is>
      </c>
      <c r="C1231" s="20" t="inlineStr">
        <is>
          <t>Tema funcional</t>
        </is>
      </c>
      <c r="D1231" s="20" t="inlineStr">
        <is>
          <t>CE</t>
        </is>
      </c>
      <c r="E1231" s="20" t="n"/>
      <c r="F1231" s="20" t="inlineStr">
        <is>
          <t>Agencias de administración digital y TIC</t>
        </is>
      </c>
    </row>
    <row r="1232">
      <c r="A1232" s="20" t="n">
        <v>124</v>
      </c>
      <c r="B1232" s="20" t="inlineStr">
        <is>
          <t>Agencia Balear de Digitalización, Ciberseguridad y Telecomunicaciones (ABDigital)</t>
        </is>
      </c>
      <c r="C1232" s="20" t="inlineStr">
        <is>
          <t>Organismos del mismo tema (Estado + CCAA, verificados)</t>
        </is>
      </c>
      <c r="D1232" s="20" t="inlineStr">
        <is>
          <t>CF</t>
        </is>
      </c>
      <c r="E1232" s="20" t="n"/>
      <c r="F1232" s="20" t="n">
        <v>10</v>
      </c>
    </row>
    <row r="1233">
      <c r="A1233" s="20" t="n">
        <v>125</v>
      </c>
      <c r="B1233" s="20" t="inlineStr">
        <is>
          <t>Instituto Balear de la Energía (IBE)</t>
        </is>
      </c>
      <c r="C1233" s="20" t="inlineStr">
        <is>
          <t>Clasificación: útil / no útil</t>
        </is>
      </c>
      <c r="D1233" s="20" t="inlineStr">
        <is>
          <t>BV</t>
        </is>
      </c>
      <c r="E1233" s="20" t="n"/>
      <c r="F1233" s="20" t="inlineStr">
        <is>
          <t>No útil</t>
        </is>
      </c>
    </row>
    <row r="1234">
      <c r="A1234" s="20" t="n">
        <v>125</v>
      </c>
      <c r="B1234" s="20" t="inlineStr">
        <is>
          <t>Instituto Balear de la Energía (IBE)</t>
        </is>
      </c>
      <c r="C1234" s="20" t="inlineStr">
        <is>
          <t>Clasificación: veredicto</t>
        </is>
      </c>
      <c r="D1234" s="20" t="inlineStr">
        <is>
          <t>BW</t>
        </is>
      </c>
      <c r="E1234" s="20" t="n"/>
      <c r="F1234" s="20" t="inlineStr">
        <is>
          <t>Integrar</t>
        </is>
      </c>
    </row>
    <row r="1235">
      <c r="A1235" s="20" t="n">
        <v>125</v>
      </c>
      <c r="B1235" s="20" t="inlineStr">
        <is>
          <t>Instituto Balear de la Energía (IBE)</t>
        </is>
      </c>
      <c r="C1235" s="20" t="inlineStr">
        <is>
          <t>Clasificación: función</t>
        </is>
      </c>
      <c r="D1235" s="20" t="inlineStr">
        <is>
          <t>BX</t>
        </is>
      </c>
      <c r="E1235" s="20" t="n"/>
      <c r="F1235" s="20" t="inlineStr">
        <is>
          <t>Financiación y ayudas</t>
        </is>
      </c>
    </row>
    <row r="1236">
      <c r="A1236" s="20" t="n">
        <v>125</v>
      </c>
      <c r="B1236" s="20" t="inlineStr">
        <is>
          <t>Instituto Balear de la Energía (IBE)</t>
        </is>
      </c>
      <c r="C1236" s="20" t="inlineStr">
        <is>
          <t>Clasificación: duplicidad</t>
        </is>
      </c>
      <c r="D1236" s="20" t="inlineStr">
        <is>
          <t>BY</t>
        </is>
      </c>
      <c r="E1236" s="20" t="n"/>
      <c r="F1236" s="20" t="inlineStr">
        <is>
          <t>Paralelo a IDAE: cada nivel actúa con sus propios fondos o competencias. 11 organismos sobre este tema entre el Estado y las CCAA (verificados).</t>
        </is>
      </c>
    </row>
    <row r="1237">
      <c r="A1237" s="20" t="n">
        <v>125</v>
      </c>
      <c r="B1237" s="20" t="inlineStr">
        <is>
          <t>Instituto Balear de la Energía (IBE)</t>
        </is>
      </c>
      <c r="C1237" s="20" t="inlineStr">
        <is>
          <t>Clasificación: exigida por la UE</t>
        </is>
      </c>
      <c r="D1237" s="20" t="inlineStr">
        <is>
          <t>BZ</t>
        </is>
      </c>
      <c r="E1237" s="20" t="n"/>
      <c r="F1237" s="20" t="inlineStr">
        <is>
          <t>No</t>
        </is>
      </c>
    </row>
    <row r="1238">
      <c r="A1238" s="20" t="n">
        <v>125</v>
      </c>
      <c r="B1238" s="20" t="inlineStr">
        <is>
          <t>Instituto Balear de la Energía (IBE)</t>
        </is>
      </c>
      <c r="C1238" s="20" t="inlineStr">
        <is>
          <t>Clasificación: actividad reciente</t>
        </is>
      </c>
      <c r="D1238" s="20" t="inlineStr">
        <is>
          <t>CA</t>
        </is>
      </c>
      <c r="E1238" s="20" t="n"/>
      <c r="F1238" s="20" t="inlineStr">
        <is>
          <t>Parcial</t>
        </is>
      </c>
    </row>
    <row r="1239">
      <c r="A1239" s="20" t="n">
        <v>125</v>
      </c>
      <c r="B1239" s="20" t="inlineStr">
        <is>
          <t>Instituto Balear de la Energía (IBE)</t>
        </is>
      </c>
      <c r="C1239" s="20" t="inlineStr">
        <is>
          <t>Clasificación: motivo</t>
        </is>
      </c>
      <c r="D1239" s="20" t="inlineStr">
        <is>
          <t>CB</t>
        </is>
      </c>
      <c r="E1239" s="20" t="n"/>
      <c r="F1239" s="20" t="inlineStr">
        <is>
          <t>Agencia autonómica de energía; el IDAE ya actúa en todo el territorio.</t>
        </is>
      </c>
    </row>
    <row r="1240">
      <c r="A1240" s="20" t="n">
        <v>125</v>
      </c>
      <c r="B1240" s="20" t="inlineStr">
        <is>
          <t>Instituto Balear de la Energía (IBE)</t>
        </is>
      </c>
      <c r="C1240" s="20" t="inlineStr">
        <is>
          <t>Clasificación: base en el P100</t>
        </is>
      </c>
      <c r="D1240" s="20" t="inlineStr">
        <is>
          <t>CC</t>
        </is>
      </c>
      <c r="E1240" s="20" t="n"/>
      <c r="F1240" s="20" t="inlineStr">
        <is>
          <t>Aplicando el criterio del P100: Criterio Extramuros del 12/10/2026</t>
        </is>
      </c>
    </row>
    <row r="1241">
      <c r="A1241" s="20" t="n">
        <v>125</v>
      </c>
      <c r="B1241" s="20" t="inlineStr">
        <is>
          <t>Instituto Balear de la Energía (IBE)</t>
        </is>
      </c>
      <c r="C1241" s="20" t="inlineStr">
        <is>
          <t>Clasificación: destino de sus funciones</t>
        </is>
      </c>
      <c r="D1241" s="20" t="inlineStr">
        <is>
          <t>CD</t>
        </is>
      </c>
      <c r="E1241" s="20" t="n"/>
      <c r="F1241" s="20" t="inlineStr">
        <is>
          <t>Instituto para la Diversificación y Ahorro de la Energía (IDAE) y la consejería</t>
        </is>
      </c>
    </row>
    <row r="1242">
      <c r="A1242" s="20" t="n">
        <v>125</v>
      </c>
      <c r="B1242" s="20" t="inlineStr">
        <is>
          <t>Instituto Balear de la Energía (IBE)</t>
        </is>
      </c>
      <c r="C1242" s="20" t="inlineStr">
        <is>
          <t>Tema funcional</t>
        </is>
      </c>
      <c r="D1242" s="20" t="inlineStr">
        <is>
          <t>CE</t>
        </is>
      </c>
      <c r="E1242" s="20" t="n"/>
      <c r="F1242" s="20" t="inlineStr">
        <is>
          <t>Agencias de la energía</t>
        </is>
      </c>
    </row>
    <row r="1243">
      <c r="A1243" s="20" t="n">
        <v>125</v>
      </c>
      <c r="B1243" s="20" t="inlineStr">
        <is>
          <t>Instituto Balear de la Energía (IBE)</t>
        </is>
      </c>
      <c r="C1243" s="20" t="inlineStr">
        <is>
          <t>Organismos del mismo tema (Estado + CCAA, verificados)</t>
        </is>
      </c>
      <c r="D1243" s="20" t="inlineStr">
        <is>
          <t>CF</t>
        </is>
      </c>
      <c r="E1243" s="20" t="n"/>
      <c r="F1243" s="20" t="n">
        <v>11</v>
      </c>
    </row>
  </sheetData>
  <autoFilter ref="A1:F12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6"/>
  <sheetViews>
    <sheetView workbookViewId="0">
      <pane ySplit="1" topLeftCell="A2" activePane="bottomLeft" state="frozen"/>
      <selection pane="bottomLeft" activeCell="A1" sqref="A1"/>
    </sheetView>
  </sheetViews>
  <sheetFormatPr baseColWidth="8" defaultRowHeight="15"/>
  <cols>
    <col width="6" customWidth="1" style="15" min="1" max="1"/>
    <col width="40" customWidth="1" style="15" min="2" max="2"/>
    <col width="16" customWidth="1" style="15" min="3" max="3"/>
    <col width="10" customWidth="1" style="15" min="4" max="4"/>
    <col width="90" customWidth="1" style="15" min="5" max="5"/>
    <col width="70" customWidth="1" style="15" min="6" max="6"/>
  </cols>
  <sheetData>
    <row r="1">
      <c r="A1" s="31" t="inlineStr">
        <is>
          <t>ID</t>
        </is>
      </c>
      <c r="B1" s="31" t="inlineStr">
        <is>
          <t>Nombre</t>
        </is>
      </c>
      <c r="C1" s="31" t="inlineStr">
        <is>
          <t>Comunidad autónoma</t>
        </is>
      </c>
      <c r="D1" s="31" t="inlineStr">
        <is>
          <t>Celdas cambiadas</t>
        </is>
      </c>
      <c r="E1" s="31" t="inlineStr">
        <is>
          <t>Cómo se verificó (documento, página, fila, unidad)</t>
        </is>
      </c>
      <c r="F1" s="31" t="inlineStr">
        <is>
          <t>Qué sigue sin cifra y por qué</t>
        </is>
      </c>
    </row>
    <row r="2">
      <c r="A2" s="20" t="n">
        <v>1</v>
      </c>
      <c r="B2" s="20" t="inlineStr">
        <is>
          <t>Agencia Estatal de Evaluación de las Políticas Públicas y la Calidad de los Servicios (AEVAL)</t>
        </is>
      </c>
      <c r="C2" s="20" t="inlineStr">
        <is>
          <t>Estado</t>
        </is>
      </c>
      <c r="D2" s="20" t="n">
        <v>9</v>
      </c>
      <c r="E2" s="20" t="n"/>
      <c r="F2" s="20" t="n"/>
    </row>
    <row r="3">
      <c r="A3" s="20" t="n">
        <v>2</v>
      </c>
      <c r="B3" s="20" t="inlineStr">
        <is>
          <t>Agencia Estatal de Seguridad Aérea (AESA)</t>
        </is>
      </c>
      <c r="C3" s="20" t="inlineStr">
        <is>
          <t>Estado</t>
        </is>
      </c>
      <c r="D3" s="20" t="n">
        <v>8</v>
      </c>
      <c r="E3" s="20" t="n"/>
      <c r="F3" s="20" t="n"/>
    </row>
    <row r="4">
      <c r="A4" s="20" t="n">
        <v>3</v>
      </c>
      <c r="B4" s="20" t="inlineStr">
        <is>
          <t>Agencia Estatal Antidopaje (AEA), hoy CELAD</t>
        </is>
      </c>
      <c r="C4" s="20" t="inlineStr">
        <is>
          <t>Estado</t>
        </is>
      </c>
      <c r="D4" s="20" t="n">
        <v>8</v>
      </c>
      <c r="E4" s="20" t="n"/>
      <c r="F4" s="20" t="n"/>
    </row>
    <row r="5">
      <c r="A5" s="20" t="n">
        <v>4</v>
      </c>
      <c r="B5" s="20" t="inlineStr">
        <is>
          <t>Agencia Estatal de Investigación (AEI)</t>
        </is>
      </c>
      <c r="C5" s="20" t="inlineStr">
        <is>
          <t>Estado</t>
        </is>
      </c>
      <c r="D5" s="20" t="n">
        <v>10</v>
      </c>
      <c r="E5" s="20" t="n"/>
      <c r="F5" s="20" t="n"/>
    </row>
    <row r="6">
      <c r="A6" s="20" t="n">
        <v>5</v>
      </c>
      <c r="B6" s="20" t="inlineStr">
        <is>
          <t>Autoridad Independiente de Responsabilidad Fiscal (AIReF)</t>
        </is>
      </c>
      <c r="C6" s="20" t="inlineStr">
        <is>
          <t>Estado</t>
        </is>
      </c>
      <c r="D6" s="20" t="n">
        <v>8</v>
      </c>
      <c r="E6" s="20" t="n"/>
      <c r="F6" s="20" t="n"/>
    </row>
    <row r="7">
      <c r="A7" s="20" t="n">
        <v>6</v>
      </c>
      <c r="B7" s="20" t="inlineStr">
        <is>
          <t>Consejo de Transparencia y Buen Gobierno (CTBG)</t>
        </is>
      </c>
      <c r="C7" s="20" t="inlineStr">
        <is>
          <t>Estado</t>
        </is>
      </c>
      <c r="D7" s="20" t="n">
        <v>10</v>
      </c>
      <c r="E7" s="20" t="n"/>
      <c r="F7" s="20" t="n"/>
    </row>
    <row r="8">
      <c r="A8" s="20" t="n">
        <v>7</v>
      </c>
      <c r="B8" s="20" t="inlineStr">
        <is>
          <t>Agencia Estatal de Seguridad Ferroviaria (AESF)</t>
        </is>
      </c>
      <c r="C8" s="20" t="inlineStr">
        <is>
          <t>Estado</t>
        </is>
      </c>
      <c r="D8" s="20" t="n">
        <v>10</v>
      </c>
      <c r="E8" s="20" t="n"/>
      <c r="F8" s="20" t="n"/>
    </row>
    <row r="9">
      <c r="A9" s="20" t="n">
        <v>8</v>
      </c>
      <c r="B9" s="20" t="inlineStr">
        <is>
          <t>Observatorio Estatal de la Convivencia Escolar</t>
        </is>
      </c>
      <c r="C9" s="20" t="inlineStr">
        <is>
          <t>Estado</t>
        </is>
      </c>
      <c r="D9" s="20" t="n">
        <v>13</v>
      </c>
      <c r="E9" s="20" t="n"/>
      <c r="F9" s="20" t="n"/>
    </row>
    <row r="10">
      <c r="A10" s="20" t="n">
        <v>9</v>
      </c>
      <c r="B10" s="20" t="inlineStr">
        <is>
          <t>Observatorio de la Vida Militar</t>
        </is>
      </c>
      <c r="C10" s="20" t="inlineStr">
        <is>
          <t>Estado</t>
        </is>
      </c>
      <c r="D10" s="20" t="n">
        <v>11</v>
      </c>
      <c r="E10" s="20" t="n"/>
      <c r="F10" s="20" t="n"/>
    </row>
    <row r="11">
      <c r="A11" s="20" t="n">
        <v>10</v>
      </c>
      <c r="B11" s="20" t="inlineStr">
        <is>
          <t>Observatorio Universitario de Becas, Ayudas al Estudio y Rendimiento Académico</t>
        </is>
      </c>
      <c r="C11" s="20" t="inlineStr">
        <is>
          <t>Estado</t>
        </is>
      </c>
      <c r="D11" s="20" t="n">
        <v>11</v>
      </c>
      <c r="E11" s="20" t="n"/>
      <c r="F11" s="20" t="n"/>
    </row>
    <row r="12">
      <c r="A12" s="20" t="n">
        <v>11</v>
      </c>
      <c r="B12" s="20" t="inlineStr">
        <is>
          <t>Observatorio del Empleo Público</t>
        </is>
      </c>
      <c r="C12" s="20" t="inlineStr">
        <is>
          <t>Estado</t>
        </is>
      </c>
      <c r="D12" s="20" t="n">
        <v>10</v>
      </c>
      <c r="E12" s="20" t="n"/>
      <c r="F12" s="20" t="n"/>
    </row>
    <row r="13">
      <c r="A13" s="20" t="n">
        <v>12</v>
      </c>
      <c r="B13" s="20" t="inlineStr">
        <is>
          <t>Observatorio de la Internacionalización</t>
        </is>
      </c>
      <c r="C13" s="20" t="inlineStr">
        <is>
          <t>Estado</t>
        </is>
      </c>
      <c r="D13" s="20" t="n">
        <v>11</v>
      </c>
      <c r="E13" s="20" t="n"/>
      <c r="F13" s="20" t="n"/>
    </row>
    <row r="14">
      <c r="A14" s="20" t="n">
        <v>13</v>
      </c>
      <c r="B14" s="20" t="inlineStr">
        <is>
          <t>Observatorio Estatal de Violencia sobre la Mujer</t>
        </is>
      </c>
      <c r="C14" s="20" t="inlineStr">
        <is>
          <t>Estado</t>
        </is>
      </c>
      <c r="D14" s="20" t="n">
        <v>13</v>
      </c>
      <c r="E14" s="20" t="n"/>
      <c r="F14" s="20" t="n"/>
    </row>
    <row r="15">
      <c r="A15" s="20" t="n">
        <v>14</v>
      </c>
      <c r="B15" s="20" t="inlineStr">
        <is>
          <t>Delegación Especial del Gobierno contra la Violencia sobre la Mujer, hoy Delegación del Gobierno contra la Violencia de Género</t>
        </is>
      </c>
      <c r="C15" s="20" t="inlineStr">
        <is>
          <t>Estado</t>
        </is>
      </c>
      <c r="D15" s="20" t="n">
        <v>8</v>
      </c>
      <c r="E15" s="20" t="n"/>
      <c r="F15" s="20" t="n"/>
    </row>
    <row r="16">
      <c r="A16" s="20" t="n">
        <v>15</v>
      </c>
      <c r="B16" s="20" t="inlineStr">
        <is>
          <t>Consejo Estatal de Familias y Observatorio Estatal de Familias</t>
        </is>
      </c>
      <c r="C16" s="20" t="inlineStr">
        <is>
          <t>Estado</t>
        </is>
      </c>
      <c r="D16" s="20" t="n">
        <v>11</v>
      </c>
      <c r="E16" s="20" t="n"/>
      <c r="F16" s="20" t="n"/>
    </row>
    <row r="17">
      <c r="A17" s="20" t="n">
        <v>16</v>
      </c>
      <c r="B17" s="20" t="inlineStr">
        <is>
          <t>Observatorio Estatal de la Discapacidad</t>
        </is>
      </c>
      <c r="C17" s="20" t="inlineStr">
        <is>
          <t>Estado</t>
        </is>
      </c>
      <c r="D17" s="20" t="n">
        <v>11</v>
      </c>
      <c r="E17" s="20" t="n"/>
      <c r="F17" s="20" t="n"/>
    </row>
    <row r="18">
      <c r="A18" s="20" t="n">
        <v>17</v>
      </c>
      <c r="B18" s="20" t="inlineStr">
        <is>
          <t>Observatorio de la Lectura y el Libro</t>
        </is>
      </c>
      <c r="C18" s="20" t="inlineStr">
        <is>
          <t>Estado</t>
        </is>
      </c>
      <c r="D18" s="20" t="n">
        <v>10</v>
      </c>
      <c r="E18" s="20" t="n"/>
      <c r="F18" s="20" t="n"/>
    </row>
    <row r="19">
      <c r="A19" s="20" t="n">
        <v>18</v>
      </c>
      <c r="B19" s="20" t="inlineStr">
        <is>
          <t>Observatorio de la Nutrición y de Estudio de la Obesidad</t>
        </is>
      </c>
      <c r="C19" s="20" t="inlineStr">
        <is>
          <t>Estado</t>
        </is>
      </c>
      <c r="D19" s="20" t="n">
        <v>11</v>
      </c>
      <c r="E19" s="20" t="n"/>
      <c r="F19" s="20" t="n"/>
    </row>
    <row r="20">
      <c r="A20" s="20" t="n">
        <v>19</v>
      </c>
      <c r="B20" s="20" t="inlineStr">
        <is>
          <t>Consejo Estatal de Responsabilidad Social de las Empresas (CERSE)</t>
        </is>
      </c>
      <c r="C20" s="20" t="inlineStr">
        <is>
          <t>Estado</t>
        </is>
      </c>
      <c r="D20" s="20" t="n">
        <v>11</v>
      </c>
      <c r="E20" s="20" t="n"/>
      <c r="F20" s="20" t="n"/>
    </row>
    <row r="21">
      <c r="A21" s="20" t="n">
        <v>20</v>
      </c>
      <c r="B21" s="20" t="inlineStr">
        <is>
          <t>Consejo Estatal del Pueblo Gitano</t>
        </is>
      </c>
      <c r="C21" s="20" t="inlineStr">
        <is>
          <t>Estado</t>
        </is>
      </c>
      <c r="D21" s="20" t="n">
        <v>11</v>
      </c>
      <c r="E21" s="20" t="n"/>
      <c r="F21" s="20" t="n"/>
    </row>
    <row r="22">
      <c r="A22" s="20" t="n">
        <v>21</v>
      </c>
      <c r="B22" s="20" t="inlineStr">
        <is>
          <t>Consejo de Participación de la Mujer</t>
        </is>
      </c>
      <c r="C22" s="20" t="inlineStr">
        <is>
          <t>Estado</t>
        </is>
      </c>
      <c r="D22" s="20" t="n">
        <v>11</v>
      </c>
      <c r="E22" s="20" t="n"/>
      <c r="F22" s="20" t="n"/>
    </row>
    <row r="23">
      <c r="A23" s="20" t="n">
        <v>22</v>
      </c>
      <c r="B23" s="20" t="inlineStr">
        <is>
          <t>Fundación Pluralismo y Convivencia, F.S.P.</t>
        </is>
      </c>
      <c r="C23" s="20" t="inlineStr">
        <is>
          <t>Estado</t>
        </is>
      </c>
      <c r="D23" s="20" t="n">
        <v>8</v>
      </c>
      <c r="E23" s="20" t="n"/>
      <c r="F23" s="20" t="n"/>
    </row>
    <row r="24">
      <c r="A24" s="20" t="n">
        <v>23</v>
      </c>
      <c r="B24" s="20" t="inlineStr">
        <is>
          <t>Oficina Independiente de Regulación y Supervisión de la Contratación (OIReScon)</t>
        </is>
      </c>
      <c r="C24" s="20" t="inlineStr">
        <is>
          <t>Estado</t>
        </is>
      </c>
      <c r="D24" s="20" t="n">
        <v>8</v>
      </c>
      <c r="E24" s="20" t="n"/>
      <c r="F24" s="20" t="n"/>
    </row>
    <row r="25">
      <c r="A25" s="20" t="n">
        <v>24</v>
      </c>
      <c r="B25" s="20" t="inlineStr">
        <is>
          <t>Comisión Nacional de los Mercados y la Competencia (CNMC)</t>
        </is>
      </c>
      <c r="C25" s="20" t="inlineStr">
        <is>
          <t>Estado</t>
        </is>
      </c>
      <c r="D25" s="20" t="n">
        <v>10</v>
      </c>
      <c r="E25" s="20" t="n"/>
      <c r="F25" s="20" t="n"/>
    </row>
    <row r="26">
      <c r="A26" s="20" t="n">
        <v>25</v>
      </c>
      <c r="B26" s="20" t="inlineStr">
        <is>
          <t>Comisión Nacional de la Competencia (CNC)</t>
        </is>
      </c>
      <c r="C26" s="20" t="inlineStr">
        <is>
          <t>Estado</t>
        </is>
      </c>
      <c r="D26" s="20" t="n">
        <v>9</v>
      </c>
      <c r="E26" s="20" t="n"/>
      <c r="F26" s="20" t="n"/>
    </row>
    <row r="27">
      <c r="A27" s="20" t="n">
        <v>26</v>
      </c>
      <c r="B27" s="20" t="inlineStr">
        <is>
          <t>Comisión Nacional del Sector Postal</t>
        </is>
      </c>
      <c r="C27" s="20" t="inlineStr">
        <is>
          <t>Estado</t>
        </is>
      </c>
      <c r="D27" s="20" t="n">
        <v>7</v>
      </c>
      <c r="E27" s="20" t="n"/>
      <c r="F27" s="20" t="n"/>
    </row>
    <row r="28">
      <c r="A28" s="20" t="n">
        <v>27</v>
      </c>
      <c r="B28" s="20" t="inlineStr">
        <is>
          <t>Agencia Española de Consumo, Seguridad Alimentaria y Nutrición (AECOSAN)</t>
        </is>
      </c>
      <c r="C28" s="20" t="inlineStr">
        <is>
          <t>Estado</t>
        </is>
      </c>
      <c r="D28" s="20" t="n">
        <v>7</v>
      </c>
      <c r="E28" s="20" t="n"/>
      <c r="F28" s="20" t="n"/>
    </row>
    <row r="29">
      <c r="A29" s="20" t="n">
        <v>28</v>
      </c>
      <c r="B29" s="20" t="inlineStr">
        <is>
          <t>Agencia de Información y Control Alimentarios (AICA)</t>
        </is>
      </c>
      <c r="C29" s="20" t="inlineStr">
        <is>
          <t>Estado</t>
        </is>
      </c>
      <c r="D29" s="20" t="n">
        <v>8</v>
      </c>
      <c r="E29" s="20" t="n"/>
      <c r="F29" s="20" t="n"/>
    </row>
    <row r="30">
      <c r="A30" s="20" t="n">
        <v>29</v>
      </c>
      <c r="B30" s="20" t="inlineStr">
        <is>
          <t>Observatorio de la Cadena Alimentaria</t>
        </is>
      </c>
      <c r="C30" s="20" t="inlineStr">
        <is>
          <t>Estado</t>
        </is>
      </c>
      <c r="D30" s="20" t="n">
        <v>11</v>
      </c>
      <c r="E30" s="20" t="n"/>
      <c r="F30" s="20" t="n"/>
    </row>
    <row r="31">
      <c r="A31" s="20" t="n">
        <v>30</v>
      </c>
      <c r="B31" s="20" t="inlineStr">
        <is>
          <t>Organismo Estatal Inspección de Trabajo y Seguridad Social (OEITSS)</t>
        </is>
      </c>
      <c r="C31" s="20" t="inlineStr">
        <is>
          <t>Estado</t>
        </is>
      </c>
      <c r="D31" s="20" t="n">
        <v>8</v>
      </c>
      <c r="E31" s="20" t="n"/>
      <c r="F31" s="20" t="n"/>
    </row>
    <row r="32">
      <c r="A32" s="20" t="n">
        <v>31</v>
      </c>
      <c r="B32" s="20" t="inlineStr">
        <is>
          <t>Agencia Española de Cooperación Internacional para el Desarrollo (AECID)</t>
        </is>
      </c>
      <c r="C32" s="20" t="inlineStr">
        <is>
          <t>Estado</t>
        </is>
      </c>
      <c r="D32" s="20" t="n">
        <v>11</v>
      </c>
      <c r="E32" s="20" t="n"/>
      <c r="F32" s="20" t="n"/>
    </row>
    <row r="33">
      <c r="A33" s="20" t="n">
        <v>32</v>
      </c>
      <c r="B33" s="20" t="inlineStr">
        <is>
          <t>Agencia Estatal Boletín Oficial del Estado</t>
        </is>
      </c>
      <c r="C33" s="20" t="inlineStr">
        <is>
          <t>Estado</t>
        </is>
      </c>
      <c r="D33" s="20" t="n">
        <v>8</v>
      </c>
      <c r="E33" s="20" t="n"/>
      <c r="F33" s="20" t="n"/>
    </row>
    <row r="34">
      <c r="A34" s="20" t="n">
        <v>33</v>
      </c>
      <c r="B34" s="20" t="inlineStr">
        <is>
          <t>Agencia Estatal Consejo Superior de Investigaciones Científicas (CSIC)</t>
        </is>
      </c>
      <c r="C34" s="20" t="inlineStr">
        <is>
          <t>Estado</t>
        </is>
      </c>
      <c r="D34" s="20" t="n">
        <v>8</v>
      </c>
      <c r="E34" s="20" t="n"/>
      <c r="F34" s="20" t="n"/>
    </row>
    <row r="35">
      <c r="A35" s="20" t="n">
        <v>34</v>
      </c>
      <c r="B35" s="20" t="inlineStr">
        <is>
          <t>Agencia Estatal de Meteorología (AEMET)</t>
        </is>
      </c>
      <c r="C35" s="20" t="inlineStr">
        <is>
          <t>Estado</t>
        </is>
      </c>
      <c r="D35" s="20" t="n">
        <v>8</v>
      </c>
      <c r="E35" s="20" t="n"/>
      <c r="F35" s="20" t="n"/>
    </row>
    <row r="36">
      <c r="A36" s="20" t="n">
        <v>35</v>
      </c>
      <c r="B36" s="20" t="inlineStr">
        <is>
          <t>Agencia estatal Agencia Española de Medicamentos y Productos Sanitarios (AEMPS)</t>
        </is>
      </c>
      <c r="C36" s="20" t="inlineStr">
        <is>
          <t>Estado</t>
        </is>
      </c>
      <c r="D36" s="20" t="n">
        <v>8</v>
      </c>
      <c r="E36" s="20" t="n"/>
      <c r="F36" s="20" t="n"/>
    </row>
    <row r="37">
      <c r="A37" s="20" t="n">
        <v>36</v>
      </c>
      <c r="B37" s="20" t="inlineStr">
        <is>
          <t>Instituto de Vivienda, Infraestructura y Equipamiento de la Defensa (INVIED)</t>
        </is>
      </c>
      <c r="C37" s="20" t="inlineStr">
        <is>
          <t>Estado</t>
        </is>
      </c>
      <c r="D37" s="20" t="n">
        <v>9</v>
      </c>
      <c r="E37" s="20" t="n"/>
      <c r="F37" s="20" t="n"/>
    </row>
    <row r="38">
      <c r="A38" s="20" t="n">
        <v>37</v>
      </c>
      <c r="B38" s="20" t="inlineStr">
        <is>
          <t>Confederación Hidrográfica del Miño-Sil</t>
        </is>
      </c>
      <c r="C38" s="20" t="inlineStr">
        <is>
          <t>Estado</t>
        </is>
      </c>
      <c r="D38" s="20" t="n">
        <v>8</v>
      </c>
      <c r="E38" s="20" t="n"/>
      <c r="F38" s="20" t="n"/>
    </row>
    <row r="39">
      <c r="A39" s="20" t="n">
        <v>38</v>
      </c>
      <c r="B39" s="20" t="inlineStr">
        <is>
          <t>Confederación Hidrográfica del Cantábrico</t>
        </is>
      </c>
      <c r="C39" s="20" t="inlineStr">
        <is>
          <t>Estado</t>
        </is>
      </c>
      <c r="D39" s="20" t="n">
        <v>8</v>
      </c>
      <c r="E39" s="20" t="n"/>
      <c r="F39" s="20" t="n"/>
    </row>
    <row r="40">
      <c r="A40" s="20" t="n">
        <v>39</v>
      </c>
      <c r="B40" s="20" t="inlineStr">
        <is>
          <t>Organismo Autónomo Programas Educativos Europeos (OAPEE), hoy SEPIE</t>
        </is>
      </c>
      <c r="C40" s="20" t="inlineStr">
        <is>
          <t>Estado</t>
        </is>
      </c>
      <c r="D40" s="20" t="n">
        <v>8</v>
      </c>
      <c r="E40" s="20" t="n"/>
      <c r="F40" s="20" t="n"/>
    </row>
    <row r="41">
      <c r="A41" s="20" t="n">
        <v>40</v>
      </c>
      <c r="B41" s="20" t="inlineStr">
        <is>
          <t>Agencia Espacial Española (AEE)</t>
        </is>
      </c>
      <c r="C41" s="20" t="inlineStr">
        <is>
          <t>Estado</t>
        </is>
      </c>
      <c r="D41" s="20" t="n">
        <v>9</v>
      </c>
      <c r="E41" s="20" t="n"/>
      <c r="F41" s="20" t="n"/>
    </row>
    <row r="42">
      <c r="A42" s="20" t="n">
        <v>41</v>
      </c>
      <c r="B42" s="20" t="inlineStr">
        <is>
          <t>Agencia Española de Supervisión de Inteligencia Artificial (AESIA)</t>
        </is>
      </c>
      <c r="C42" s="20" t="inlineStr">
        <is>
          <t>Estado</t>
        </is>
      </c>
      <c r="D42" s="20" t="n">
        <v>8</v>
      </c>
      <c r="E42" s="20" t="n"/>
      <c r="F42" s="20" t="n"/>
    </row>
    <row r="43">
      <c r="A43" s="20" t="n">
        <v>42</v>
      </c>
      <c r="B43" s="20" t="inlineStr">
        <is>
          <t>Agencia Estatal de Administración Digital (AEAD)</t>
        </is>
      </c>
      <c r="C43" s="20" t="inlineStr">
        <is>
          <t>Estado</t>
        </is>
      </c>
      <c r="D43" s="20" t="n">
        <v>10</v>
      </c>
      <c r="E43" s="20" t="n"/>
      <c r="F43" s="20" t="n"/>
    </row>
    <row r="44">
      <c r="A44" s="20" t="n">
        <v>43</v>
      </c>
      <c r="B44" s="20" t="inlineStr">
        <is>
          <t>Autoridad Independiente de Protección del Informante (A.A.I.)</t>
        </is>
      </c>
      <c r="C44" s="20" t="inlineStr">
        <is>
          <t>Estado</t>
        </is>
      </c>
      <c r="D44" s="20" t="n">
        <v>10</v>
      </c>
      <c r="E44" s="20" t="n"/>
      <c r="F44" s="20" t="n"/>
    </row>
    <row r="45">
      <c r="A45" s="20" t="n">
        <v>44</v>
      </c>
      <c r="B45" s="20" t="inlineStr">
        <is>
          <t>Autoridad Independiente para la Igualdad de Trato y la No Discriminación</t>
        </is>
      </c>
      <c r="C45" s="20" t="inlineStr">
        <is>
          <t>Estado</t>
        </is>
      </c>
      <c r="D45" s="20" t="n">
        <v>9</v>
      </c>
      <c r="E45" s="20" t="n"/>
      <c r="F45" s="20" t="n"/>
    </row>
    <row r="46">
      <c r="A46" s="20" t="n">
        <v>45</v>
      </c>
      <c r="B46" s="20" t="inlineStr">
        <is>
          <t>Agencia Estatal de Evaluación de Políticas Públicas</t>
        </is>
      </c>
      <c r="C46" s="20" t="inlineStr">
        <is>
          <t>Estado</t>
        </is>
      </c>
      <c r="D46" s="20" t="n">
        <v>11</v>
      </c>
      <c r="E46" s="20" t="n"/>
      <c r="F46" s="20" t="n"/>
    </row>
    <row r="47">
      <c r="A47" s="20" t="n">
        <v>46</v>
      </c>
      <c r="B47" s="20" t="inlineStr">
        <is>
          <t>Agencia Estatal de Salud Pública (AESAP)</t>
        </is>
      </c>
      <c r="C47" s="20" t="inlineStr">
        <is>
          <t>Estado</t>
        </is>
      </c>
      <c r="D47" s="20" t="n">
        <v>11</v>
      </c>
      <c r="E47" s="20" t="n"/>
      <c r="F47" s="20" t="n"/>
    </row>
    <row r="48">
      <c r="A48" s="20" t="n">
        <v>47</v>
      </c>
      <c r="B48" s="20" t="inlineStr">
        <is>
          <t>Observatorio del Comercio 4.0</t>
        </is>
      </c>
      <c r="C48" s="20" t="inlineStr">
        <is>
          <t>Estado</t>
        </is>
      </c>
      <c r="D48" s="20" t="n">
        <v>10</v>
      </c>
      <c r="E48" s="20" t="n"/>
      <c r="F48" s="20" t="n"/>
    </row>
    <row r="49">
      <c r="A49" s="20" t="n">
        <v>48</v>
      </c>
      <c r="B49" s="20" t="inlineStr">
        <is>
          <t>Observatorio Mujeres, Ciencia e Innovación</t>
        </is>
      </c>
      <c r="C49" s="20" t="inlineStr">
        <is>
          <t>Estado</t>
        </is>
      </c>
      <c r="D49" s="20" t="n">
        <v>11</v>
      </c>
      <c r="E49" s="20" t="n"/>
      <c r="F49" s="20" t="n"/>
    </row>
    <row r="50">
      <c r="A50" s="20" t="n">
        <v>49</v>
      </c>
      <c r="B50" s="20" t="inlineStr">
        <is>
          <t>Observatorio para la lucha contra el fraude a la Seguridad Social</t>
        </is>
      </c>
      <c r="C50" s="20" t="inlineStr">
        <is>
          <t>Estado</t>
        </is>
      </c>
      <c r="D50" s="20" t="n">
        <v>11</v>
      </c>
      <c r="E50" s="20" t="n"/>
      <c r="F50" s="20" t="n"/>
    </row>
    <row r="51">
      <c r="A51" s="20" t="n">
        <v>50</v>
      </c>
      <c r="B51" s="20" t="inlineStr">
        <is>
          <t>Observatorio de Igualdad de Género en el ámbito de la Cultura</t>
        </is>
      </c>
      <c r="C51" s="20" t="inlineStr">
        <is>
          <t>Estado</t>
        </is>
      </c>
      <c r="D51" s="20" t="n">
        <v>10</v>
      </c>
      <c r="E51" s="20" t="n"/>
      <c r="F51" s="20" t="n"/>
    </row>
    <row r="52">
      <c r="A52" s="20" t="n">
        <v>51</v>
      </c>
      <c r="B52" s="20" t="inlineStr">
        <is>
          <t>Observatorio Global del Español</t>
        </is>
      </c>
      <c r="C52" s="20" t="inlineStr">
        <is>
          <t>Estado</t>
        </is>
      </c>
      <c r="D52" s="20" t="n">
        <v>11</v>
      </c>
      <c r="E52" s="20" t="n"/>
      <c r="F52" s="20" t="n"/>
    </row>
    <row r="53">
      <c r="A53" s="20" t="n">
        <v>52</v>
      </c>
      <c r="B53" s="20" t="inlineStr">
        <is>
          <t>Observatorio de la Sostenibilidad del Regadío</t>
        </is>
      </c>
      <c r="C53" s="20" t="inlineStr">
        <is>
          <t>Estado</t>
        </is>
      </c>
      <c r="D53" s="20" t="n">
        <v>11</v>
      </c>
      <c r="E53" s="20" t="n"/>
      <c r="F53" s="20" t="n"/>
    </row>
    <row r="54">
      <c r="A54" s="20" t="n">
        <v>53</v>
      </c>
      <c r="B54" s="20" t="inlineStr">
        <is>
          <t>Mesa Nacional del Regadío</t>
        </is>
      </c>
      <c r="C54" s="20" t="inlineStr">
        <is>
          <t>Estado</t>
        </is>
      </c>
      <c r="D54" s="20" t="n">
        <v>11</v>
      </c>
      <c r="E54" s="20" t="n"/>
      <c r="F54" s="20" t="n"/>
    </row>
    <row r="55">
      <c r="A55" s="20" t="n">
        <v>54</v>
      </c>
      <c r="B55" s="20" t="inlineStr">
        <is>
          <t>Observatorio Estatal de la Morosidad Privada</t>
        </is>
      </c>
      <c r="C55" s="20" t="inlineStr">
        <is>
          <t>Estado</t>
        </is>
      </c>
      <c r="D55" s="20" t="n">
        <v>10</v>
      </c>
      <c r="E55" s="20" t="n"/>
      <c r="F55" s="20" t="n"/>
    </row>
    <row r="56">
      <c r="A56" s="20" t="n">
        <v>55</v>
      </c>
      <c r="B56" s="20" t="inlineStr">
        <is>
          <t>Observatorio de Márgenes Empresariales</t>
        </is>
      </c>
      <c r="C56" s="20" t="inlineStr">
        <is>
          <t>Estado</t>
        </is>
      </c>
      <c r="D56" s="20" t="n">
        <v>10</v>
      </c>
      <c r="E56" s="20" t="n"/>
      <c r="F56" s="20" t="n"/>
    </row>
    <row r="57">
      <c r="A57" s="20" t="n">
        <v>56</v>
      </c>
      <c r="B57" s="20" t="inlineStr">
        <is>
          <t>Observatorio contra el Fraude y la Corrupción Sanitaria</t>
        </is>
      </c>
      <c r="C57" s="20" t="inlineStr">
        <is>
          <t>Estado</t>
        </is>
      </c>
      <c r="D57" s="20" t="n">
        <v>10</v>
      </c>
      <c r="E57" s="20" t="n"/>
      <c r="F57" s="20" t="n"/>
    </row>
    <row r="58">
      <c r="A58" s="20" t="n">
        <v>57</v>
      </c>
      <c r="B58" s="20" t="inlineStr">
        <is>
          <t>Observatorio de Conducta Ética de la Guardia Civil</t>
        </is>
      </c>
      <c r="C58" s="20" t="inlineStr">
        <is>
          <t>Estado</t>
        </is>
      </c>
      <c r="D58" s="20" t="n">
        <v>11</v>
      </c>
      <c r="E58" s="20" t="n"/>
      <c r="F58" s="20" t="n"/>
    </row>
    <row r="59">
      <c r="A59" s="20" t="n">
        <v>58</v>
      </c>
      <c r="B59" s="20" t="inlineStr">
        <is>
          <t>Observatorio de Gobierno Abierto</t>
        </is>
      </c>
      <c r="C59" s="20" t="inlineStr">
        <is>
          <t>Estado</t>
        </is>
      </c>
      <c r="D59" s="20" t="n">
        <v>10</v>
      </c>
      <c r="E59" s="20" t="n"/>
      <c r="F59" s="20" t="n"/>
    </row>
    <row r="60">
      <c r="A60" s="20" t="n">
        <v>59</v>
      </c>
      <c r="B60" s="20" t="inlineStr">
        <is>
          <t>Observatorio de Digitalización del Sector Agroalimentario</t>
        </is>
      </c>
      <c r="C60" s="20" t="inlineStr">
        <is>
          <t>Estado</t>
        </is>
      </c>
      <c r="D60" s="20" t="n">
        <v>12</v>
      </c>
      <c r="E60" s="20" t="n"/>
      <c r="F60" s="20" t="n"/>
    </row>
    <row r="61">
      <c r="A61" s="20" t="n">
        <v>60</v>
      </c>
      <c r="B61" s="20" t="inlineStr">
        <is>
          <t>Observatorio de Derechos Digitales</t>
        </is>
      </c>
      <c r="C61" s="20" t="inlineStr">
        <is>
          <t>Estado</t>
        </is>
      </c>
      <c r="D61" s="20" t="n">
        <v>12</v>
      </c>
      <c r="E61" s="20" t="n"/>
      <c r="F61" s="20" t="n"/>
    </row>
    <row r="62">
      <c r="A62" s="20" t="n">
        <v>61</v>
      </c>
      <c r="B62" s="20" t="inlineStr">
        <is>
          <t>Consejo de Desarrollo Sostenible</t>
        </is>
      </c>
      <c r="C62" s="20" t="inlineStr">
        <is>
          <t>Estado</t>
        </is>
      </c>
      <c r="D62" s="20" t="n">
        <v>11</v>
      </c>
      <c r="E62" s="20" t="n"/>
      <c r="F62" s="20" t="n"/>
    </row>
    <row r="63">
      <c r="A63" s="20" t="n">
        <v>62</v>
      </c>
      <c r="B63" s="20" t="inlineStr">
        <is>
          <t>Consejo de Participación de las Personas LGTBI</t>
        </is>
      </c>
      <c r="C63" s="20" t="inlineStr">
        <is>
          <t>Estado</t>
        </is>
      </c>
      <c r="D63" s="20" t="n">
        <v>11</v>
      </c>
      <c r="E63" s="20" t="n"/>
      <c r="F63" s="20" t="n"/>
    </row>
    <row r="64">
      <c r="A64" s="20" t="n">
        <v>63</v>
      </c>
      <c r="B64" s="20" t="inlineStr">
        <is>
          <t>Consejo Estatal de Participación de la Infancia y de la Adolescencia (CEPIA)</t>
        </is>
      </c>
      <c r="C64" s="20" t="inlineStr">
        <is>
          <t>Estado</t>
        </is>
      </c>
      <c r="D64" s="20" t="n">
        <v>10</v>
      </c>
      <c r="E64" s="20" t="n"/>
      <c r="F64" s="20" t="n"/>
    </row>
    <row r="65">
      <c r="A65" s="20" t="n">
        <v>64</v>
      </c>
      <c r="B65" s="20" t="inlineStr">
        <is>
          <t>Consejo Nacional de Seguridad Aeroespacial</t>
        </is>
      </c>
      <c r="C65" s="20" t="inlineStr">
        <is>
          <t>Estado</t>
        </is>
      </c>
      <c r="D65" s="20" t="n">
        <v>11</v>
      </c>
      <c r="E65" s="20" t="n"/>
      <c r="F65" s="20" t="n"/>
    </row>
    <row r="66">
      <c r="A66" s="20" t="n">
        <v>65</v>
      </c>
      <c r="B66" s="20" t="inlineStr">
        <is>
          <t>Centro Nacional de Fotografía</t>
        </is>
      </c>
      <c r="C66" s="20" t="inlineStr">
        <is>
          <t>Estado</t>
        </is>
      </c>
      <c r="D66" s="20" t="n">
        <v>8</v>
      </c>
      <c r="E66" s="20" t="n"/>
      <c r="F66" s="20" t="n"/>
    </row>
    <row r="67">
      <c r="A67" s="20" t="n">
        <v>66</v>
      </c>
      <c r="B67" s="20" t="inlineStr">
        <is>
          <t>Sociedad Española para la Transformación Tecnológica (SETT), antes SEMYS</t>
        </is>
      </c>
      <c r="C67" s="20" t="inlineStr">
        <is>
          <t>Estado</t>
        </is>
      </c>
      <c r="D67" s="20" t="n">
        <v>8</v>
      </c>
      <c r="E67" s="20" t="n"/>
      <c r="F67" s="20" t="n"/>
    </row>
    <row r="68">
      <c r="A68" s="20" t="n">
        <v>67</v>
      </c>
      <c r="B68" s="20" t="inlineStr">
        <is>
          <t>Oficina Técnica de Desertificación</t>
        </is>
      </c>
      <c r="C68" s="20" t="inlineStr">
        <is>
          <t>Estado</t>
        </is>
      </c>
      <c r="D68" s="20" t="n">
        <v>11</v>
      </c>
      <c r="E68" s="20" t="n"/>
      <c r="F68" s="20" t="n"/>
    </row>
    <row r="69">
      <c r="A69" s="20" t="n">
        <v>68</v>
      </c>
      <c r="B69" s="20" t="inlineStr">
        <is>
          <t>Comisión Interministerial del Trío de Eclipses 2026-2027-2028</t>
        </is>
      </c>
      <c r="C69" s="20" t="inlineStr">
        <is>
          <t>Estado</t>
        </is>
      </c>
      <c r="D69" s="20" t="n">
        <v>10</v>
      </c>
      <c r="E69" s="20" t="n"/>
      <c r="F69" s="20" t="n"/>
    </row>
    <row r="70">
      <c r="A70" s="20" t="n">
        <v>69</v>
      </c>
      <c r="B70" s="20" t="inlineStr">
        <is>
          <t>Plataforma Nacional para la Reducción del Riesgo de Desastres</t>
        </is>
      </c>
      <c r="C70" s="20" t="inlineStr">
        <is>
          <t>Estado</t>
        </is>
      </c>
      <c r="D70" s="20" t="n">
        <v>11</v>
      </c>
      <c r="E70" s="20" t="n"/>
      <c r="F70" s="20" t="n"/>
    </row>
    <row r="71">
      <c r="A71" s="20" t="n">
        <v>70</v>
      </c>
      <c r="B71" s="20" t="inlineStr">
        <is>
          <t>Consejo Estatal de Medios Audiovisuales (CEMA)</t>
        </is>
      </c>
      <c r="C71" s="20" t="inlineStr">
        <is>
          <t>Estado</t>
        </is>
      </c>
      <c r="D71" s="20" t="n">
        <v>9</v>
      </c>
      <c r="E71" s="20" t="n"/>
      <c r="F71" s="20" t="n"/>
    </row>
    <row r="72">
      <c r="A72" s="20" t="n">
        <v>71</v>
      </c>
      <c r="B72" s="20" t="inlineStr">
        <is>
          <t>Comisión Nacional del Juego</t>
        </is>
      </c>
      <c r="C72" s="20" t="inlineStr">
        <is>
          <t>Estado</t>
        </is>
      </c>
      <c r="D72" s="20" t="n">
        <v>7</v>
      </c>
      <c r="E72" s="20" t="n"/>
      <c r="F72" s="20" t="n"/>
    </row>
    <row r="73">
      <c r="A73" s="20" t="n">
        <v>72</v>
      </c>
      <c r="B73" s="20" t="inlineStr">
        <is>
          <t>Comisión de Regulación Económica Aeroportuaria (CREA)</t>
        </is>
      </c>
      <c r="C73" s="20" t="inlineStr">
        <is>
          <t>Estado</t>
        </is>
      </c>
      <c r="D73" s="20" t="n">
        <v>7</v>
      </c>
      <c r="E73" s="20" t="n"/>
      <c r="F73" s="20" t="n"/>
    </row>
    <row r="74">
      <c r="A74" s="20" t="n">
        <v>73</v>
      </c>
      <c r="B74" s="20" t="inlineStr">
        <is>
          <t>Agencia Andaluza de Cooperación Internacional para el Desarrollo (AACID)</t>
        </is>
      </c>
      <c r="C74" s="20" t="inlineStr">
        <is>
          <t>Andalucía</t>
        </is>
      </c>
      <c r="D74" s="20" t="n">
        <v>10</v>
      </c>
      <c r="E74" s="20" t="n"/>
      <c r="F74" s="20" t="n"/>
    </row>
    <row r="75">
      <c r="A75" s="20" t="n">
        <v>74</v>
      </c>
      <c r="B75" s="20" t="inlineStr">
        <is>
          <t>Agencia de Defensa de la Competencia de Andalucía</t>
        </is>
      </c>
      <c r="C75" s="20" t="inlineStr">
        <is>
          <t>Andalucía</t>
        </is>
      </c>
      <c r="D75" s="20" t="n">
        <v>11</v>
      </c>
      <c r="E75" s="20" t="n"/>
      <c r="F75" s="20" t="n"/>
    </row>
    <row r="76">
      <c r="A76" s="20" t="n">
        <v>75</v>
      </c>
      <c r="B76" s="20" t="inlineStr">
        <is>
          <t>Agencia Tributaria de Andalucía</t>
        </is>
      </c>
      <c r="C76" s="20" t="inlineStr">
        <is>
          <t>Andalucía</t>
        </is>
      </c>
      <c r="D76" s="20" t="n">
        <v>11</v>
      </c>
      <c r="E76" s="20" t="n"/>
      <c r="F76" s="20" t="n"/>
    </row>
    <row r="77">
      <c r="A77" s="20" t="n">
        <v>76</v>
      </c>
      <c r="B77" s="20" t="inlineStr">
        <is>
          <t>Consejo de Transparencia y Protección de Datos de Andalucía</t>
        </is>
      </c>
      <c r="C77" s="20" t="inlineStr">
        <is>
          <t>Andalucía</t>
        </is>
      </c>
      <c r="D77" s="20" t="n">
        <v>11</v>
      </c>
      <c r="E77" s="20" t="n"/>
      <c r="F77" s="20" t="n"/>
    </row>
    <row r="78">
      <c r="A78" s="20" t="n">
        <v>77</v>
      </c>
      <c r="B78" s="20" t="inlineStr">
        <is>
          <t>Observatorio Territorial de Andalucía</t>
        </is>
      </c>
      <c r="C78" s="20" t="inlineStr">
        <is>
          <t>Andalucía</t>
        </is>
      </c>
      <c r="D78" s="20" t="n">
        <v>11</v>
      </c>
      <c r="E78" s="20" t="n"/>
      <c r="F78" s="20" t="n"/>
    </row>
    <row r="79">
      <c r="A79" s="20" t="n">
        <v>78</v>
      </c>
      <c r="B79" s="20" t="inlineStr">
        <is>
          <t>Agencia de Calidad y Prospectiva Universitaria de Aragón (ACPUA)</t>
        </is>
      </c>
      <c r="C79" s="20" t="inlineStr">
        <is>
          <t>Aragón</t>
        </is>
      </c>
      <c r="D79" s="20" t="n">
        <v>11</v>
      </c>
      <c r="E79" s="20" t="n"/>
      <c r="F79" s="20" t="n"/>
    </row>
    <row r="80">
      <c r="A80" s="20" t="n">
        <v>79</v>
      </c>
      <c r="B80" s="20" t="inlineStr">
        <is>
          <t>Servicio de Emergencias del Principado de Asturias (SEPA)</t>
        </is>
      </c>
      <c r="C80" s="20" t="inlineStr">
        <is>
          <t>Asturias</t>
        </is>
      </c>
      <c r="D80" s="20" t="n">
        <v>10</v>
      </c>
      <c r="E80" s="20" t="n"/>
      <c r="F80" s="20" t="n"/>
    </row>
    <row r="81">
      <c r="A81" s="20" t="n">
        <v>80</v>
      </c>
      <c r="B81" s="20" t="inlineStr">
        <is>
          <t>Agencia Tributaria de las Illes Balears (ATIB)</t>
        </is>
      </c>
      <c r="C81" s="20" t="inlineStr">
        <is>
          <t>Illes Balears</t>
        </is>
      </c>
      <c r="D81" s="20" t="n">
        <v>11</v>
      </c>
      <c r="E81" s="20" t="n"/>
      <c r="F81" s="20" t="n"/>
    </row>
    <row r="82">
      <c r="A82" s="20" t="n">
        <v>81</v>
      </c>
      <c r="B82" s="20" t="inlineStr">
        <is>
          <t>Agencia Tributaria Canaria (ATC)</t>
        </is>
      </c>
      <c r="C82" s="20" t="inlineStr">
        <is>
          <t>Canarias</t>
        </is>
      </c>
      <c r="D82" s="20" t="n">
        <v>11</v>
      </c>
      <c r="E82" s="20" t="n"/>
      <c r="F82" s="20" t="n"/>
    </row>
    <row r="83">
      <c r="A83" s="20" t="n">
        <v>82</v>
      </c>
      <c r="B83" s="20" t="inlineStr">
        <is>
          <t>Instituto Cántabro de Servicios Sociales (ICASS)</t>
        </is>
      </c>
      <c r="C83" s="20" t="inlineStr">
        <is>
          <t>Cantabria</t>
        </is>
      </c>
      <c r="D83" s="20" t="n">
        <v>8</v>
      </c>
      <c r="E83" s="20" t="n"/>
      <c r="F83" s="20" t="n"/>
    </row>
    <row r="84">
      <c r="A84" s="20" t="n">
        <v>83</v>
      </c>
      <c r="B84" s="20" t="inlineStr">
        <is>
          <t>Instituto Cántabro de Seguridad y Salud en el Trabajo (ICASST)</t>
        </is>
      </c>
      <c r="C84" s="20" t="inlineStr">
        <is>
          <t>Cantabria</t>
        </is>
      </c>
      <c r="D84" s="20" t="n">
        <v>11</v>
      </c>
      <c r="E84" s="20" t="n"/>
      <c r="F84" s="20" t="n"/>
    </row>
    <row r="85">
      <c r="A85" s="20" t="n">
        <v>84</v>
      </c>
      <c r="B85" s="20" t="inlineStr">
        <is>
          <t>Agencia del Agua de Castilla-La Mancha</t>
        </is>
      </c>
      <c r="C85" s="20" t="inlineStr">
        <is>
          <t>Castilla-La Mancha</t>
        </is>
      </c>
      <c r="D85" s="20" t="n">
        <v>7</v>
      </c>
      <c r="E85" s="20" t="n"/>
      <c r="F85" s="20" t="n"/>
    </row>
    <row r="86">
      <c r="A86" s="20" t="n">
        <v>85</v>
      </c>
      <c r="B86" s="20" t="inlineStr">
        <is>
          <t>Observatorio para la Convivencia Escolar</t>
        </is>
      </c>
      <c r="C86" s="20" t="inlineStr">
        <is>
          <t>Castilla y León</t>
        </is>
      </c>
      <c r="D86" s="20" t="n">
        <v>13</v>
      </c>
      <c r="E86" s="20" t="n"/>
      <c r="F86" s="20" t="n"/>
    </row>
    <row r="87">
      <c r="A87" s="20" t="n">
        <v>86</v>
      </c>
      <c r="B87" s="20" t="inlineStr">
        <is>
          <t>Agencia Tributaria de Cataluña</t>
        </is>
      </c>
      <c r="C87" s="20" t="inlineStr">
        <is>
          <t>Cataluña</t>
        </is>
      </c>
      <c r="D87" s="20" t="n">
        <v>11</v>
      </c>
      <c r="E87" s="20" t="n"/>
      <c r="F87" s="20" t="n"/>
    </row>
    <row r="88">
      <c r="A88" s="20" t="n">
        <v>87</v>
      </c>
      <c r="B88" s="20" t="inlineStr">
        <is>
          <t>Oficina Antifraude de Cataluña</t>
        </is>
      </c>
      <c r="C88" s="20" t="inlineStr">
        <is>
          <t>Cataluña</t>
        </is>
      </c>
      <c r="D88" s="20" t="n">
        <v>11</v>
      </c>
      <c r="E88" s="20" t="n"/>
      <c r="F88" s="20" t="n"/>
    </row>
    <row r="89">
      <c r="A89" s="20" t="n">
        <v>88</v>
      </c>
      <c r="B89" s="20" t="inlineStr">
        <is>
          <t>Observatorio para la Convivencia Escolar</t>
        </is>
      </c>
      <c r="C89" s="20" t="inlineStr">
        <is>
          <t>Extremadura</t>
        </is>
      </c>
      <c r="D89" s="20" t="n">
        <v>13</v>
      </c>
      <c r="E89" s="20" t="n"/>
      <c r="F89" s="20" t="n"/>
    </row>
    <row r="90">
      <c r="A90" s="20" t="n">
        <v>89</v>
      </c>
      <c r="B90" s="20" t="inlineStr">
        <is>
          <t>Agencia Gallega de Innovación (GAIN)</t>
        </is>
      </c>
      <c r="C90" s="20" t="inlineStr">
        <is>
          <t>Galicia</t>
        </is>
      </c>
      <c r="D90" s="20" t="n">
        <v>11</v>
      </c>
      <c r="E90" s="20" t="n"/>
      <c r="F90" s="20" t="n"/>
    </row>
    <row r="91">
      <c r="A91" s="20" t="n">
        <v>90</v>
      </c>
      <c r="B91" s="20" t="inlineStr">
        <is>
          <t>Consejo de la Juventud de la Comunidad de Madrid</t>
        </is>
      </c>
      <c r="C91" s="20" t="inlineStr">
        <is>
          <t>Comunidad de Madrid</t>
        </is>
      </c>
      <c r="D91" s="20" t="n">
        <v>9</v>
      </c>
      <c r="E91" s="20" t="n"/>
      <c r="F91" s="20" t="n"/>
    </row>
    <row r="92">
      <c r="A92" s="20" t="n">
        <v>91</v>
      </c>
      <c r="B92" s="20" t="inlineStr">
        <is>
          <t>Instituto de Turismo de la Región de Murcia (ITREM)</t>
        </is>
      </c>
      <c r="C92" s="20" t="inlineStr">
        <is>
          <t>Región de Murcia</t>
        </is>
      </c>
      <c r="D92" s="20" t="n">
        <v>9</v>
      </c>
      <c r="E92" s="20" t="n"/>
      <c r="F92" s="20" t="n"/>
    </row>
    <row r="93">
      <c r="A93" s="20" t="n">
        <v>92</v>
      </c>
      <c r="B93" s="20" t="inlineStr">
        <is>
          <t>Oficina de Buenas Prácticas y Anticorrupción</t>
        </is>
      </c>
      <c r="C93" s="20" t="inlineStr">
        <is>
          <t>Navarra</t>
        </is>
      </c>
      <c r="D93" s="20" t="n">
        <v>11</v>
      </c>
      <c r="E93" s="20" t="n"/>
      <c r="F93" s="20" t="n"/>
    </row>
    <row r="94">
      <c r="A94" s="20" t="n">
        <v>93</v>
      </c>
      <c r="B94" s="20" t="inlineStr">
        <is>
          <t>Autoridad Vasca de la Competencia (AVC)</t>
        </is>
      </c>
      <c r="C94" s="20" t="inlineStr">
        <is>
          <t>País Vasco</t>
        </is>
      </c>
      <c r="D94" s="20" t="n">
        <v>11</v>
      </c>
      <c r="E94" s="20" t="n"/>
      <c r="F94" s="20" t="n"/>
    </row>
    <row r="95">
      <c r="A95" s="20" t="n">
        <v>94</v>
      </c>
      <c r="B95" s="20" t="inlineStr">
        <is>
          <t>Instituto Riojano de la Juventud</t>
        </is>
      </c>
      <c r="C95" s="20" t="inlineStr">
        <is>
          <t>La Rioja</t>
        </is>
      </c>
      <c r="D95" s="20" t="n">
        <v>7</v>
      </c>
      <c r="E95" s="20" t="n"/>
      <c r="F95" s="20" t="n"/>
    </row>
    <row r="96">
      <c r="A96" s="20" t="n">
        <v>95</v>
      </c>
      <c r="B96" s="20" t="inlineStr">
        <is>
          <t>Agencia de Prevención y Lucha contra el Fraude y la Corrupción (AVAF)</t>
        </is>
      </c>
      <c r="C96" s="20" t="inlineStr">
        <is>
          <t>Comunitat Valenciana</t>
        </is>
      </c>
      <c r="D96" s="20" t="n">
        <v>11</v>
      </c>
      <c r="E96" s="20" t="n"/>
      <c r="F96" s="20" t="n"/>
    </row>
    <row r="97">
      <c r="A97" s="20" t="n">
        <v>96</v>
      </c>
      <c r="B97" s="20" t="inlineStr">
        <is>
          <t>Agencia Madrileña para el Apoyo a las Personas Adultas con Discapacidad</t>
        </is>
      </c>
      <c r="C97" s="20" t="inlineStr">
        <is>
          <t>Madrid</t>
        </is>
      </c>
      <c r="D97" s="20" t="n">
        <v>8</v>
      </c>
      <c r="E97" s="20" t="n"/>
      <c r="F97" s="20" t="n"/>
    </row>
    <row r="98">
      <c r="A98" s="20" t="n">
        <v>97</v>
      </c>
      <c r="B98" s="20" t="inlineStr">
        <is>
          <t>Agencia Digital de Andalucía (ADA)</t>
        </is>
      </c>
      <c r="C98" s="20" t="inlineStr">
        <is>
          <t>Andalucía</t>
        </is>
      </c>
      <c r="D98" s="20" t="n">
        <v>11</v>
      </c>
      <c r="E98" s="20" t="n"/>
      <c r="F98" s="20" t="n"/>
    </row>
    <row r="99">
      <c r="A99" s="20" t="n">
        <v>98</v>
      </c>
      <c r="B99" s="20" t="inlineStr">
        <is>
          <t>Agencia Empresarial para la Transformación y el Desarrollo Económico (TRADE)</t>
        </is>
      </c>
      <c r="C99" s="20" t="inlineStr">
        <is>
          <t>Andalucía</t>
        </is>
      </c>
      <c r="D99" s="20" t="n">
        <v>9</v>
      </c>
      <c r="E99" s="20" t="n"/>
      <c r="F99" s="20" t="n"/>
    </row>
    <row r="100">
      <c r="A100" s="20" t="n">
        <v>99</v>
      </c>
      <c r="B100" s="20" t="inlineStr">
        <is>
          <t>Agencia para la Calidad Científica y Universitaria de Andalucía (ACCUA)</t>
        </is>
      </c>
      <c r="C100" s="20" t="inlineStr">
        <is>
          <t>Andalucía</t>
        </is>
      </c>
      <c r="D100" s="20" t="n">
        <v>11</v>
      </c>
      <c r="E100" s="20" t="n"/>
      <c r="F100" s="20" t="n"/>
    </row>
    <row r="101">
      <c r="A101" s="20" t="n">
        <v>100</v>
      </c>
      <c r="B101" s="20" t="inlineStr">
        <is>
          <t>Instituto de Salud de Andalucía (ISA)</t>
        </is>
      </c>
      <c r="C101" s="20" t="inlineStr">
        <is>
          <t>Andalucía</t>
        </is>
      </c>
      <c r="D101" s="20" t="n">
        <v>11</v>
      </c>
      <c r="E101" s="20" t="n"/>
      <c r="F101" s="20" t="n"/>
    </row>
    <row r="102">
      <c r="A102" s="20" t="n">
        <v>101</v>
      </c>
      <c r="B102" s="20" t="inlineStr">
        <is>
          <t>Agencia de Emergencias de Andalucía (antes ASGIE)</t>
        </is>
      </c>
      <c r="C102" s="20" t="inlineStr">
        <is>
          <t>Andalucía</t>
        </is>
      </c>
      <c r="D102" s="20" t="n">
        <v>10</v>
      </c>
      <c r="E102" s="20" t="n"/>
      <c r="F102" s="20" t="n"/>
    </row>
    <row r="103">
      <c r="A103" s="20" t="n">
        <v>102</v>
      </c>
      <c r="B103" s="20" t="inlineStr">
        <is>
          <t>Agència de la Natura de Catalunya (ANC)</t>
        </is>
      </c>
      <c r="C103" s="20" t="inlineStr">
        <is>
          <t>Cataluña</t>
        </is>
      </c>
      <c r="D103" s="20" t="n">
        <v>8</v>
      </c>
      <c r="E103" s="20" t="n"/>
      <c r="F103" s="20" t="n"/>
    </row>
    <row r="104">
      <c r="A104" s="20" t="n">
        <v>103</v>
      </c>
      <c r="B104" s="20" t="inlineStr">
        <is>
          <t>Agencia Valenciana de Protección del Territorio (AVPT)</t>
        </is>
      </c>
      <c r="C104" s="20" t="inlineStr">
        <is>
          <t>Comunitat Valenciana</t>
        </is>
      </c>
      <c r="D104" s="20" t="n">
        <v>8</v>
      </c>
      <c r="E104" s="20" t="n"/>
      <c r="F104" s="20" t="n"/>
    </row>
    <row r="105">
      <c r="A105" s="20" t="n">
        <v>104</v>
      </c>
      <c r="B105" s="20" t="inlineStr">
        <is>
          <t>Agència Valenciana de Seguretat Ferroviària (AVSF)</t>
        </is>
      </c>
      <c r="C105" s="20" t="inlineStr">
        <is>
          <t>Comunitat Valenciana</t>
        </is>
      </c>
      <c r="D105" s="20" t="n">
        <v>11</v>
      </c>
      <c r="E105" s="20" t="n"/>
      <c r="F105" s="20" t="n"/>
    </row>
    <row r="106">
      <c r="A106" s="20" t="n">
        <v>105</v>
      </c>
      <c r="B106" s="20" t="inlineStr">
        <is>
          <t>Agència Valenciana de Residus i Economia Circular</t>
        </is>
      </c>
      <c r="C106" s="20" t="inlineStr">
        <is>
          <t>Comunitat Valenciana</t>
        </is>
      </c>
      <c r="D106" s="20" t="n">
        <v>7</v>
      </c>
      <c r="E106" s="20" t="n"/>
      <c r="F106" s="20" t="n"/>
    </row>
    <row r="107">
      <c r="A107" s="20" t="n">
        <v>106</v>
      </c>
      <c r="B107" s="20" t="inlineStr">
        <is>
          <t>Corporación Audiovisual de la Comunitat Valenciana, S.A.</t>
        </is>
      </c>
      <c r="C107" s="20" t="inlineStr">
        <is>
          <t>Comunitat Valenciana</t>
        </is>
      </c>
      <c r="D107" s="20" t="n">
        <v>8</v>
      </c>
      <c r="E107" s="20" t="n"/>
      <c r="F107" s="20" t="n"/>
    </row>
    <row r="108">
      <c r="A108" s="20" t="n">
        <v>107</v>
      </c>
      <c r="B108" s="20" t="inlineStr">
        <is>
          <t>Aukerak, Agencia Vasca de Reinserción Social</t>
        </is>
      </c>
      <c r="C108" s="20" t="inlineStr">
        <is>
          <t>País Vasco</t>
        </is>
      </c>
      <c r="D108" s="20" t="n">
        <v>9</v>
      </c>
      <c r="E108" s="20" t="n"/>
      <c r="F108" s="20" t="n"/>
    </row>
    <row r="109">
      <c r="A109" s="20" t="n">
        <v>108</v>
      </c>
      <c r="B109" s="20" t="inlineStr">
        <is>
          <t>Agencia Vasca de Ciberseguridad</t>
        </is>
      </c>
      <c r="C109" s="20" t="inlineStr">
        <is>
          <t>País Vasco</t>
        </is>
      </c>
      <c r="D109" s="20" t="n">
        <v>11</v>
      </c>
      <c r="E109" s="20" t="n"/>
      <c r="F109" s="20" t="n"/>
    </row>
    <row r="110">
      <c r="A110" s="20" t="n">
        <v>109</v>
      </c>
      <c r="B110" s="20" t="inlineStr">
        <is>
          <t>Euskadiko Kirol Portuak (Puertos Deportivos de Euskadi)</t>
        </is>
      </c>
      <c r="C110" s="20" t="inlineStr">
        <is>
          <t>País Vasco</t>
        </is>
      </c>
      <c r="D110" s="20" t="n">
        <v>8</v>
      </c>
      <c r="E110" s="20" t="n"/>
      <c r="F110" s="20" t="n"/>
    </row>
    <row r="111">
      <c r="A111" s="20" t="n">
        <v>110</v>
      </c>
      <c r="B111" s="20" t="inlineStr">
        <is>
          <t>Agència de Ciberseguretat de Catalunya</t>
        </is>
      </c>
      <c r="C111" s="20" t="inlineStr">
        <is>
          <t>Cataluña</t>
        </is>
      </c>
      <c r="D111" s="20" t="n">
        <v>11</v>
      </c>
      <c r="E111" s="20" t="n"/>
      <c r="F111" s="20" t="n"/>
    </row>
    <row r="112">
      <c r="A112" s="20" t="n">
        <v>111</v>
      </c>
      <c r="B112" s="20" t="inlineStr">
        <is>
          <t>Agencia de Salud Pública de las Illes Balears (ASPIB)</t>
        </is>
      </c>
      <c r="C112" s="20" t="inlineStr">
        <is>
          <t>Illes Balears</t>
        </is>
      </c>
      <c r="D112" s="20" t="n">
        <v>11</v>
      </c>
      <c r="E112" s="20" t="n"/>
      <c r="F112" s="20" t="n"/>
    </row>
    <row r="113">
      <c r="A113" s="20" t="n">
        <v>112</v>
      </c>
      <c r="B113" s="20" t="inlineStr">
        <is>
          <t>Agencia de Ciencia, Competitividad Empresarial e Innovación (SCEI) del Principado de Asturias</t>
        </is>
      </c>
      <c r="C113" s="20" t="inlineStr">
        <is>
          <t>Asturias</t>
        </is>
      </c>
      <c r="D113" s="20" t="n">
        <v>11</v>
      </c>
      <c r="E113" s="20" t="n"/>
      <c r="F113" s="20" t="n"/>
    </row>
    <row r="114">
      <c r="A114" s="20" t="n">
        <v>113</v>
      </c>
      <c r="B114" s="20" t="inlineStr">
        <is>
          <t>Consejo de Transparencia y Buen Gobierno del Principado de Asturias</t>
        </is>
      </c>
      <c r="C114" s="20" t="inlineStr">
        <is>
          <t>Asturias</t>
        </is>
      </c>
      <c r="D114" s="20" t="n">
        <v>11</v>
      </c>
      <c r="E114" s="20" t="n"/>
      <c r="F114" s="20" t="n"/>
    </row>
    <row r="115">
      <c r="A115" s="20" t="n">
        <v>114</v>
      </c>
      <c r="B115" s="20" t="inlineStr">
        <is>
          <t>Organismo Autónomo Servicio de Emergencias de Cantabria (SEMCA)</t>
        </is>
      </c>
      <c r="C115" s="20" t="inlineStr">
        <is>
          <t>Cantabria</t>
        </is>
      </c>
      <c r="D115" s="20" t="n">
        <v>10</v>
      </c>
      <c r="E115" s="20" t="n"/>
      <c r="F115" s="20" t="n"/>
    </row>
    <row r="116">
      <c r="A116" s="20" t="n">
        <v>115</v>
      </c>
      <c r="B116" s="20" t="inlineStr">
        <is>
          <t>Consejo de la Juventud de Cantabria</t>
        </is>
      </c>
      <c r="C116" s="20" t="inlineStr">
        <is>
          <t>Cantabria</t>
        </is>
      </c>
      <c r="D116" s="20" t="n">
        <v>11</v>
      </c>
      <c r="E116" s="20" t="n"/>
      <c r="F116" s="20" t="n"/>
    </row>
    <row r="117">
      <c r="A117" s="20" t="n">
        <v>116</v>
      </c>
      <c r="B117" s="20" t="inlineStr">
        <is>
          <t>Instituto Cántabro de Administración Pública 'Rafael de la Sierra' (ICAP)</t>
        </is>
      </c>
      <c r="C117" s="20" t="inlineStr">
        <is>
          <t>Cantabria</t>
        </is>
      </c>
      <c r="D117" s="20" t="n">
        <v>11</v>
      </c>
      <c r="E117" s="20" t="n"/>
      <c r="F117" s="20" t="n"/>
    </row>
    <row r="118">
      <c r="A118" s="20" t="n">
        <v>117</v>
      </c>
      <c r="B118" s="20" t="inlineStr">
        <is>
          <t>Agencia de Investigación e Innovación de Castilla-La Mancha (OA)</t>
        </is>
      </c>
      <c r="C118" s="20" t="inlineStr">
        <is>
          <t>Castilla-La Mancha</t>
        </is>
      </c>
      <c r="D118" s="20" t="n">
        <v>11</v>
      </c>
      <c r="E118" s="20" t="n"/>
      <c r="F118" s="20" t="n"/>
    </row>
    <row r="119">
      <c r="A119" s="20" t="n">
        <v>118</v>
      </c>
      <c r="B119" s="20" t="inlineStr">
        <is>
          <t>Agencia de Transformación Digital de Castilla-La Mancha</t>
        </is>
      </c>
      <c r="C119" s="20" t="inlineStr">
        <is>
          <t>Castilla-La Mancha</t>
        </is>
      </c>
      <c r="D119" s="20" t="n">
        <v>11</v>
      </c>
      <c r="E119" s="20" t="n"/>
      <c r="F119" s="20" t="n"/>
    </row>
    <row r="120">
      <c r="A120" s="20" t="n">
        <v>119</v>
      </c>
      <c r="B120" s="20" t="inlineStr">
        <is>
          <t>Agencia Riojana de Transición Energética y Cambio Climático (ARTE)</t>
        </is>
      </c>
      <c r="C120" s="20" t="inlineStr">
        <is>
          <t>La Rioja</t>
        </is>
      </c>
      <c r="D120" s="20" t="n">
        <v>9</v>
      </c>
      <c r="E120" s="20" t="n"/>
      <c r="F120" s="20" t="n"/>
    </row>
    <row r="121">
      <c r="A121" s="20" t="n">
        <v>120</v>
      </c>
      <c r="B121" s="20" t="inlineStr">
        <is>
          <t>Agencia Digital de la Región de Murcia</t>
        </is>
      </c>
      <c r="C121" s="20" t="inlineStr">
        <is>
          <t>Murcia</t>
        </is>
      </c>
      <c r="D121" s="20" t="n">
        <v>11</v>
      </c>
      <c r="E121" s="20" t="n"/>
      <c r="F121" s="20" t="n"/>
    </row>
    <row r="122">
      <c r="A122" s="20" t="n">
        <v>121</v>
      </c>
      <c r="B122" s="20" t="inlineStr">
        <is>
          <t>Agencia Gallega de la Calidad Alimentaria (AGACAL)</t>
        </is>
      </c>
      <c r="C122" s="20" t="inlineStr">
        <is>
          <t>Galicia</t>
        </is>
      </c>
      <c r="D122" s="20" t="n">
        <v>8</v>
      </c>
      <c r="E122" s="20" t="n"/>
      <c r="F122" s="20" t="n"/>
    </row>
    <row r="123">
      <c r="A123" s="20" t="n">
        <v>122</v>
      </c>
      <c r="B123" s="20" t="inlineStr">
        <is>
          <t>Agencia Extremeña de la Energía (AGENEX), entidad pública empresarial</t>
        </is>
      </c>
      <c r="C123" s="20" t="inlineStr">
        <is>
          <t>Extremadura</t>
        </is>
      </c>
      <c r="D123" s="20" t="n">
        <v>11</v>
      </c>
      <c r="E123" s="20" t="n"/>
      <c r="F123" s="20" t="n"/>
    </row>
    <row r="124">
      <c r="A124" s="20" t="n">
        <v>123</v>
      </c>
      <c r="B124" s="20" t="inlineStr">
        <is>
          <t>Observatorio de Igualdad de Género de Cantabria</t>
        </is>
      </c>
      <c r="C124" s="20" t="inlineStr">
        <is>
          <t>Cantabria</t>
        </is>
      </c>
      <c r="D124" s="20" t="n">
        <v>13</v>
      </c>
      <c r="E124" s="20" t="n"/>
      <c r="F124" s="20" t="n"/>
    </row>
    <row r="125">
      <c r="A125" s="20" t="n">
        <v>124</v>
      </c>
      <c r="B125" s="20" t="inlineStr">
        <is>
          <t>Agencia Balear de Digitalización, Ciberseguridad y Telecomunicaciones (ABDigital)</t>
        </is>
      </c>
      <c r="C125" s="20" t="inlineStr">
        <is>
          <t>Illes Balears</t>
        </is>
      </c>
      <c r="D125" s="20" t="n">
        <v>11</v>
      </c>
      <c r="E125" s="20" t="n"/>
      <c r="F125" s="20" t="n"/>
    </row>
    <row r="126">
      <c r="A126" s="20" t="n">
        <v>125</v>
      </c>
      <c r="B126" s="20" t="inlineStr">
        <is>
          <t>Instituto Balear de la Energía (IBE)</t>
        </is>
      </c>
      <c r="C126" s="20" t="inlineStr">
        <is>
          <t>Illes Balears</t>
        </is>
      </c>
      <c r="D126" s="20" t="n">
        <v>11</v>
      </c>
      <c r="E126" s="20" t="n"/>
      <c r="F126" s="20" t="n"/>
    </row>
  </sheetData>
  <autoFilter ref="A1:F1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0" customWidth="1" style="15" min="1" max="1"/>
    <col width="34" customWidth="1" style="15" min="2" max="2"/>
    <col width="18" customWidth="1" style="15" min="3" max="3"/>
    <col width="18" customWidth="1" style="15" min="4" max="4"/>
    <col width="70" customWidth="1" style="15" min="5" max="5"/>
    <col width="18" customWidth="1" style="15" min="6" max="6"/>
  </cols>
  <sheetData>
    <row r="1">
      <c r="A1" s="23" t="inlineStr">
        <is>
          <t>Entidad</t>
        </is>
      </c>
      <c r="B1" s="23" t="inlineStr">
        <is>
          <t>Capítulo</t>
        </is>
      </c>
      <c r="C1" s="23" t="inlineStr">
        <is>
          <t>Crédito inicial 2026 (= PGE 2023 prorrogado), EUR millones</t>
        </is>
      </c>
      <c r="D1" s="23" t="inlineStr">
        <is>
          <t>Crédito actualizado a 31/08/2026, EUR millones</t>
        </is>
      </c>
      <c r="E1" s="23" t="inlineStr">
        <is>
          <t>A qué se destina</t>
        </is>
      </c>
      <c r="F1" s="23" t="inlineStr">
        <is>
          <t>¿Gasto propio o de paso?</t>
        </is>
      </c>
    </row>
    <row r="2">
      <c r="A2" s="20" t="inlineStr">
        <is>
          <t>Agencia Estatal Consejo Superior de Investigaciones Científicas (CSIC)</t>
        </is>
      </c>
      <c r="B2" s="20" t="inlineStr">
        <is>
          <t>1 Gastos de personal</t>
        </is>
      </c>
      <c r="C2" s="32" t="n"/>
      <c r="D2" s="32" t="n">
        <v>614.97</v>
      </c>
      <c r="E2" s="20" t="inlineStr">
        <is>
          <t>Retribuciones y cotizaciones de la plantilla investigadora, técnica y de gestión (unas 17.100 personas según la EPSAP de enero de 2026).</t>
        </is>
      </c>
      <c r="F2" s="20" t="inlineStr">
        <is>
          <t>Propio</t>
        </is>
      </c>
    </row>
    <row r="3">
      <c r="A3" s="20" t="inlineStr">
        <is>
          <t>Agencia Estatal Consejo Superior de Investigaciones Científicas (CSIC)</t>
        </is>
      </c>
      <c r="B3" s="20" t="inlineStr">
        <is>
          <t>2 a 9 (resto, en conjunto)</t>
        </is>
      </c>
      <c r="C3" s="32" t="n"/>
      <c r="D3" s="32" t="n">
        <v>928.784</v>
      </c>
      <c r="E3" s="20" t="inlineStr">
        <is>
          <t>Diferencia aritmética: 1.543,754 − 614,97. No se ha podido verificar cómo se reparte entre los capítulos 2 (bienes y servicios), 3, 4, 6 (inversiones reales: proyectos e infraestructuras), 7, 8 y 9.</t>
        </is>
      </c>
      <c r="F3" s="20" t="inlineStr">
        <is>
          <t>Sin desglosar</t>
        </is>
      </c>
    </row>
    <row r="4">
      <c r="A4" s="20" t="inlineStr">
        <is>
          <t>Comisión Nacional de los Mercados y la Competencia (CNMC)</t>
        </is>
      </c>
      <c r="B4" s="20" t="inlineStr">
        <is>
          <t>1 Gastos de personal</t>
        </is>
      </c>
      <c r="C4" s="32" t="n">
        <v>35.947</v>
      </c>
      <c r="D4" s="32" t="n">
        <v>47.618</v>
      </c>
      <c r="E4" s="20" t="inlineStr">
        <is>
          <t>Plantilla y Consejo. Desglose inicial: altos cargos 1,188; eventuales 0,160; funcionarios 9,638; laborales 16,946; incentivos 1,490; cuotas sociales 6,524.</t>
        </is>
      </c>
      <c r="F4" s="20" t="inlineStr">
        <is>
          <t>Propio</t>
        </is>
      </c>
    </row>
    <row r="5">
      <c r="A5" s="20" t="inlineStr">
        <is>
          <t>Comisión Nacional de los Mercados y la Competencia (CNMC)</t>
        </is>
      </c>
      <c r="B5" s="20" t="inlineStr">
        <is>
          <t>2 Gastos corrientes en bienes y servicios</t>
        </is>
      </c>
      <c r="C5" s="32" t="n">
        <v>21.216</v>
      </c>
      <c r="D5" s="32" t="n">
        <v>25.567</v>
      </c>
      <c r="E5" s="20" t="inlineStr">
        <is>
          <t>Funcionamiento ordinario. Lo mayor son estudios y trabajos técnicos externos (concepto 22706: 12,772 de inicial); luego seguridad 1,100, contenciosos 0,694, publicaciones 0,532, tributos locales 0,438, mantenimiento 1,011 y dietas/viajes 0,987.</t>
        </is>
      </c>
      <c r="F5" s="20" t="inlineStr">
        <is>
          <t>Propio</t>
        </is>
      </c>
    </row>
    <row r="6">
      <c r="A6" s="20" t="inlineStr">
        <is>
          <t>Comisión Nacional de los Mercados y la Competencia (CNMC)</t>
        </is>
      </c>
      <c r="B6" s="20" t="inlineStr">
        <is>
          <t>3 Gastos financieros</t>
        </is>
      </c>
      <c r="C6" s="32" t="n">
        <v>0.299</v>
      </c>
      <c r="D6" s="32" t="n"/>
      <c r="E6" s="20" t="inlineStr">
        <is>
          <t>Intereses de demora y otros gastos financieros (art. 35).</t>
        </is>
      </c>
      <c r="F6" s="20" t="inlineStr">
        <is>
          <t>Propio</t>
        </is>
      </c>
    </row>
    <row r="7">
      <c r="A7" s="20" t="inlineStr">
        <is>
          <t>Comisión Nacional de los Mercados y la Competencia (CNMC)</t>
        </is>
      </c>
      <c r="B7" s="20" t="inlineStr">
        <is>
          <t>4 Transferencias corrientes</t>
        </is>
      </c>
      <c r="C7" s="32" t="n">
        <v>110.69</v>
      </c>
      <c r="D7" s="32" t="n"/>
      <c r="E7" s="20" t="inlineStr">
        <is>
          <t>110,000 para financiar la prestación del Servicio Postal Universal (programa 491N, concepto 440, art. 44 'a sociedades... del sector público estatal'). Es dinero que solo pasa por la CNMC, no coste suyo. Los 0,690 restantes son becas, prácticas de doctorandos, indemnizaciones a expresidentes y exconsejeros y cuotas a organismos internacionales.</t>
        </is>
      </c>
      <c r="F7" s="20" t="inlineStr">
        <is>
          <t>De paso a terceros</t>
        </is>
      </c>
    </row>
    <row r="8">
      <c r="A8" s="20" t="inlineStr">
        <is>
          <t>Comisión Nacional de los Mercados y la Competencia (CNMC)</t>
        </is>
      </c>
      <c r="B8" s="20" t="inlineStr">
        <is>
          <t>6 Inversiones reales</t>
        </is>
      </c>
      <c r="C8" s="32" t="n">
        <v>4.08</v>
      </c>
      <c r="D8" s="32" t="n"/>
      <c r="E8" s="20" t="inlineStr">
        <is>
          <t>Inversión propia: inmaterial, sobre todo informática (2,917); inversión nueva (1,048); reposición (0,115).</t>
        </is>
      </c>
      <c r="F8" s="20" t="inlineStr">
        <is>
          <t>Propio</t>
        </is>
      </c>
    </row>
    <row r="9">
      <c r="A9" s="20" t="inlineStr">
        <is>
          <t>Comisión Nacional de los Mercados y la Competencia (CNMC)</t>
        </is>
      </c>
      <c r="B9" s="20" t="inlineStr">
        <is>
          <t>7 Transferencias de capital</t>
        </is>
      </c>
      <c r="C9" s="32" t="n">
        <v>3514.142</v>
      </c>
      <c r="D9" s="32" t="n">
        <v>4656.642</v>
      </c>
      <c r="E9" s="20" t="inlineStr">
        <is>
          <t>Dinero que solo pasa por la CNMC: el MITECO lo transfiere y la CNMC lo aplica a los costes regulados del sistema eléctrico (art. 77 'a empresas privadas'). No es coste de funcionamiento. Detalle en 'explicacion_transferencias'.</t>
        </is>
      </c>
      <c r="F9" s="20" t="inlineStr">
        <is>
          <t>De paso a terceros</t>
        </is>
      </c>
    </row>
    <row r="10">
      <c r="A10" s="20" t="inlineStr">
        <is>
          <t>Comisión Nacional de los Mercados y la Competencia (CNMC)</t>
        </is>
      </c>
      <c r="B10" s="20" t="inlineStr">
        <is>
          <t>8 Activos financieros</t>
        </is>
      </c>
      <c r="C10" s="32" t="n">
        <v>0.06</v>
      </c>
      <c r="D10" s="32" t="n"/>
      <c r="E10" s="20" t="inlineStr">
        <is>
          <t>Préstamos fuera del sector público (anticipos al personal; art. 83).</t>
        </is>
      </c>
      <c r="F10" s="20" t="inlineStr">
        <is>
          <t>Propio</t>
        </is>
      </c>
    </row>
    <row r="11">
      <c r="A11" s="20" t="inlineStr">
        <is>
          <t>Comisión Nacional de los Mercados y la Competencia (CNMC)</t>
        </is>
      </c>
      <c r="B11" s="20" t="inlineStr">
        <is>
          <t>3+4+6+8 (crédito actualizado, en conjunto)</t>
        </is>
      </c>
      <c r="C11" s="32" t="n">
        <v>115.129</v>
      </c>
      <c r="D11" s="32" t="n">
        <v>116.526</v>
      </c>
      <c r="E11" s="20" t="inlineStr">
        <is>
          <t>Diferencia aritmética: 4.846,353 − 47,618 − 25,567 − 4.656,642. La IGAE no se ha podido releer para separarla por capítulos. Los 9 y 5 no tienen crédito inicial.</t>
        </is>
      </c>
      <c r="F11" s="20" t="inlineStr">
        <is>
          <t>Sin desglosar</t>
        </is>
      </c>
    </row>
    <row r="13" ht="70" customHeight="1" s="15">
      <c r="A13" s="20" t="inlineStr">
        <is>
          <t>CNMC: el capítulo 7 (y 110 M del capítulo 4, servicio postal universal) es dinero que el Estado le transfiere y ella aplica a costes regulados del sistema eléctrico (Ley 15/2012, subastas de CO2 de la Ley 7/2021, sobrecoste extrapeninsular de la Ley 24/2013). Fuente: presupuesto CNMC 2023 en su portal de transparencia e IGAE agosto 2026. CSIC: solo está verificado el capítulo 1; el reparto del resto entre capítulos no se pudo leer.</t>
        </is>
      </c>
    </row>
  </sheetData>
  <mergeCells count="1">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2026-10-11T18:27:32Z</dcterms:created>
  <dcterms:modified xmlns:dcterms="http://purl.org/dc/terms/" xmlns:xsi="http://www.w3.org/2001/XMLSchema-instance" xsi:type="dcterms:W3CDTF">2026-10-13T11:00:42Z</dcterms:modified>
</cp:coreProperties>
</file>